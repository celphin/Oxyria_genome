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GitHub\Oxyria_genome\3_Genome_Comparisons\6_RepeatOBserver\"/>
    </mc:Choice>
  </mc:AlternateContent>
  <xr:revisionPtr revIDLastSave="0" documentId="13_ncr:9_{DEAF021C-195C-44C5-9528-63C83F8D6995}" xr6:coauthVersionLast="47" xr6:coauthVersionMax="47" xr10:uidLastSave="{00000000-0000-0000-0000-000000000000}"/>
  <bookViews>
    <workbookView xWindow="-108" yWindow="-108" windowWidth="23256" windowHeight="12456" xr2:uid="{52B504D8-1CCA-4820-8CE0-4B72E0EB1CB5}"/>
  </bookViews>
  <sheets>
    <sheet name="Arctic_genomes_final_cent_pred_" sheetId="1" r:id="rId1"/>
  </sheets>
  <calcPr calcId="0"/>
</workbook>
</file>

<file path=xl/calcChain.xml><?xml version="1.0" encoding="utf-8"?>
<calcChain xmlns="http://schemas.openxmlformats.org/spreadsheetml/2006/main">
  <c r="J25" i="1" l="1"/>
  <c r="J23" i="1"/>
  <c r="J24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2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2" i="1"/>
</calcChain>
</file>

<file path=xl/sharedStrings.xml><?xml version="1.0" encoding="utf-8"?>
<sst xmlns="http://schemas.openxmlformats.org/spreadsheetml/2006/main" count="1254" uniqueCount="73">
  <si>
    <t>Label</t>
  </si>
  <si>
    <t>Spp</t>
  </si>
  <si>
    <t>Chr</t>
  </si>
  <si>
    <t>Start</t>
  </si>
  <si>
    <t>End</t>
  </si>
  <si>
    <t>Length</t>
  </si>
  <si>
    <t>PercentLength</t>
  </si>
  <si>
    <t>RepeatType</t>
  </si>
  <si>
    <t>Habitat</t>
  </si>
  <si>
    <t>Family</t>
  </si>
  <si>
    <t>HabitatGroup</t>
  </si>
  <si>
    <t>Shannon</t>
  </si>
  <si>
    <t>Arabidopsis_H0-AT</t>
  </si>
  <si>
    <t>Chr1</t>
  </si>
  <si>
    <t>TandemRepeat</t>
  </si>
  <si>
    <t>Other</t>
  </si>
  <si>
    <t>Brassicaceae</t>
  </si>
  <si>
    <t>Chr2</t>
  </si>
  <si>
    <t>Chr3</t>
  </si>
  <si>
    <t>MinRepeatAbund</t>
  </si>
  <si>
    <t>Chr4</t>
  </si>
  <si>
    <t>Chr5</t>
  </si>
  <si>
    <t>Brassica_H0-AT</t>
  </si>
  <si>
    <t>Chr10</t>
  </si>
  <si>
    <t>Chr6</t>
  </si>
  <si>
    <t>Chr7</t>
  </si>
  <si>
    <t>Chr8</t>
  </si>
  <si>
    <t>Chr9</t>
  </si>
  <si>
    <t>COLCEN_H0-AT</t>
  </si>
  <si>
    <t>Draniv2_H0-AT</t>
  </si>
  <si>
    <t>Arctic</t>
  </si>
  <si>
    <t>Arctic/Alpine</t>
  </si>
  <si>
    <t>MaxRepeatAbund</t>
  </si>
  <si>
    <t>Retrotransposon</t>
  </si>
  <si>
    <t>DryOcto_H0-AT</t>
  </si>
  <si>
    <t>Rosaceae</t>
  </si>
  <si>
    <t>Dryoct_H0-AT</t>
  </si>
  <si>
    <t>Fagoesc_H1-AT</t>
  </si>
  <si>
    <t>Polygonaceae</t>
  </si>
  <si>
    <t>Fagoesc_H2-AT</t>
  </si>
  <si>
    <t>Fagotat_H1-AT</t>
  </si>
  <si>
    <t>MN47_H0-AT</t>
  </si>
  <si>
    <t>Malussylvestris_H0-AT</t>
  </si>
  <si>
    <t>Chr11</t>
  </si>
  <si>
    <t>Chr12</t>
  </si>
  <si>
    <t>Chr13</t>
  </si>
  <si>
    <t>Chr14</t>
  </si>
  <si>
    <t>Chr15</t>
  </si>
  <si>
    <t>Chr16</t>
  </si>
  <si>
    <t>Chr17</t>
  </si>
  <si>
    <t>Oxydig_H1-AT</t>
  </si>
  <si>
    <t>Polavi_H0-AT</t>
  </si>
  <si>
    <t>Prunuspersica_H0-AT</t>
  </si>
  <si>
    <t>Rhunob_H0-AT</t>
  </si>
  <si>
    <t>Alpine</t>
  </si>
  <si>
    <t>Rhutan_H0-AT</t>
  </si>
  <si>
    <t>Rubusidaeus_H0-AT</t>
  </si>
  <si>
    <t>Strawberry_H0-AT</t>
  </si>
  <si>
    <t>Chr18</t>
  </si>
  <si>
    <t>Chr19</t>
  </si>
  <si>
    <t>Chr20</t>
  </si>
  <si>
    <t>Chr21</t>
  </si>
  <si>
    <t>Chr22</t>
  </si>
  <si>
    <t>Chr23</t>
  </si>
  <si>
    <t>Chr24</t>
  </si>
  <si>
    <t>Chr25</t>
  </si>
  <si>
    <t>Chr26</t>
  </si>
  <si>
    <t>Chr27</t>
  </si>
  <si>
    <t>Chr28</t>
  </si>
  <si>
    <t>Chr_length</t>
  </si>
  <si>
    <t>Start_spectra</t>
  </si>
  <si>
    <t>End_spectra</t>
  </si>
  <si>
    <t>Length_spectra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</si>
</sst>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1FAD1-DC0A-4617-81A3-003DAF42DA8A}">
  <dimension ref="A1:O178"/>
  <sheetViews>
    <sheetView tabSelected="1" topLeftCell="A11" workbookViewId="0">
      <selection activeCell="I30" sqref="I30"/>
    </sheetView>
  </sheetViews>
  <sheetFormatPr defaultRowHeight="14.4" x14ac:dyDescent="0.3"/>
  <cols>
    <col min="1" max="1" width="12.109375" customWidth="1"/>
    <col min="2" max="2" width="18.33203125" customWidth="1"/>
    <col min="3" max="3" width="11.21875" customWidth="1"/>
    <col min="4" max="4" width="10.21875" customWidth="1"/>
    <col min="5" max="5" width="11.5546875" customWidth="1"/>
    <col min="6" max="9" width="11.6640625" customWidth="1"/>
    <col min="10" max="10" width="13.44140625" customWidth="1"/>
    <col min="11" max="11" width="16.109375" customWidth="1"/>
    <col min="12" max="12" width="14.44140625" customWidth="1"/>
    <col min="13" max="13" width="11.109375" customWidth="1"/>
    <col min="14" max="14" width="17.33203125" customWidth="1"/>
    <col min="15" max="15" width="12.332031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69</v>
      </c>
      <c r="H1" t="s">
        <v>70</v>
      </c>
      <c r="I1" t="s">
        <v>71</v>
      </c>
      <c r="J1" t="s">
        <v>72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3">
      <c r="A2" t="s">
        <v>11</v>
      </c>
      <c r="B2" t="s">
        <v>12</v>
      </c>
      <c r="C2" t="s">
        <v>13</v>
      </c>
      <c r="D2">
        <v>14730000</v>
      </c>
      <c r="E2">
        <v>17120000</v>
      </c>
      <c r="F2">
        <f>E2-D2</f>
        <v>2390000</v>
      </c>
      <c r="K2">
        <v>0.97280334728033502</v>
      </c>
      <c r="L2" t="s">
        <v>14</v>
      </c>
      <c r="M2" t="s">
        <v>15</v>
      </c>
      <c r="N2" t="s">
        <v>16</v>
      </c>
      <c r="O2" t="s">
        <v>15</v>
      </c>
    </row>
    <row r="3" spans="1:15" x14ac:dyDescent="0.3">
      <c r="A3" t="s">
        <v>11</v>
      </c>
      <c r="B3" t="s">
        <v>12</v>
      </c>
      <c r="C3" t="s">
        <v>17</v>
      </c>
      <c r="D3">
        <v>4690000</v>
      </c>
      <c r="E3">
        <v>6455000</v>
      </c>
      <c r="F3">
        <f t="shared" ref="F3:F66" si="0">E3-D3</f>
        <v>1765000</v>
      </c>
      <c r="K3">
        <v>0.92917847025495703</v>
      </c>
      <c r="L3" t="s">
        <v>14</v>
      </c>
      <c r="M3" t="s">
        <v>15</v>
      </c>
      <c r="N3" t="s">
        <v>16</v>
      </c>
      <c r="O3" t="s">
        <v>15</v>
      </c>
    </row>
    <row r="4" spans="1:15" x14ac:dyDescent="0.3">
      <c r="A4" t="s">
        <v>11</v>
      </c>
      <c r="B4" t="s">
        <v>12</v>
      </c>
      <c r="C4" t="s">
        <v>18</v>
      </c>
      <c r="D4">
        <v>13925000</v>
      </c>
      <c r="E4">
        <v>16060000</v>
      </c>
      <c r="F4">
        <f t="shared" si="0"/>
        <v>2135000</v>
      </c>
      <c r="K4">
        <v>0.94145199063231899</v>
      </c>
      <c r="L4" t="s">
        <v>14</v>
      </c>
      <c r="M4" t="s">
        <v>15</v>
      </c>
      <c r="N4" t="s">
        <v>16</v>
      </c>
      <c r="O4" t="s">
        <v>15</v>
      </c>
    </row>
    <row r="5" spans="1:15" x14ac:dyDescent="0.3">
      <c r="A5" t="s">
        <v>19</v>
      </c>
      <c r="B5" t="s">
        <v>12</v>
      </c>
      <c r="C5" t="s">
        <v>20</v>
      </c>
      <c r="D5">
        <v>5400000</v>
      </c>
      <c r="E5">
        <v>6765000</v>
      </c>
      <c r="F5">
        <f t="shared" si="0"/>
        <v>1365000</v>
      </c>
      <c r="K5">
        <v>0.94139194139194105</v>
      </c>
      <c r="L5" t="s">
        <v>14</v>
      </c>
      <c r="M5" t="s">
        <v>15</v>
      </c>
      <c r="N5" t="s">
        <v>16</v>
      </c>
      <c r="O5" t="s">
        <v>15</v>
      </c>
    </row>
    <row r="6" spans="1:15" x14ac:dyDescent="0.3">
      <c r="A6" t="s">
        <v>11</v>
      </c>
      <c r="B6" t="s">
        <v>12</v>
      </c>
      <c r="C6" t="s">
        <v>21</v>
      </c>
      <c r="D6">
        <v>11905000</v>
      </c>
      <c r="E6">
        <v>14580000</v>
      </c>
      <c r="F6">
        <f t="shared" si="0"/>
        <v>2675000</v>
      </c>
      <c r="K6">
        <v>0.92710280373831799</v>
      </c>
      <c r="L6" t="s">
        <v>14</v>
      </c>
      <c r="M6" t="s">
        <v>15</v>
      </c>
      <c r="N6" t="s">
        <v>16</v>
      </c>
      <c r="O6" t="s">
        <v>15</v>
      </c>
    </row>
    <row r="7" spans="1:15" x14ac:dyDescent="0.3">
      <c r="A7" t="s">
        <v>19</v>
      </c>
      <c r="B7" t="s">
        <v>22</v>
      </c>
      <c r="C7" t="s">
        <v>13</v>
      </c>
      <c r="D7">
        <v>19210000</v>
      </c>
      <c r="E7">
        <v>20995000</v>
      </c>
      <c r="F7">
        <f t="shared" si="0"/>
        <v>1785000</v>
      </c>
      <c r="K7">
        <v>0.89635854341736698</v>
      </c>
      <c r="L7" t="s">
        <v>14</v>
      </c>
      <c r="M7" t="s">
        <v>15</v>
      </c>
      <c r="N7" t="s">
        <v>16</v>
      </c>
      <c r="O7" t="s">
        <v>15</v>
      </c>
    </row>
    <row r="8" spans="1:15" x14ac:dyDescent="0.3">
      <c r="A8" t="s">
        <v>11</v>
      </c>
      <c r="B8" t="s">
        <v>22</v>
      </c>
      <c r="C8" t="s">
        <v>23</v>
      </c>
      <c r="D8">
        <v>7860000</v>
      </c>
      <c r="E8">
        <v>8975000</v>
      </c>
      <c r="F8">
        <f t="shared" si="0"/>
        <v>1115000</v>
      </c>
      <c r="K8">
        <v>1</v>
      </c>
      <c r="L8" t="s">
        <v>14</v>
      </c>
      <c r="M8" t="s">
        <v>15</v>
      </c>
      <c r="N8" t="s">
        <v>16</v>
      </c>
      <c r="O8" t="s">
        <v>15</v>
      </c>
    </row>
    <row r="9" spans="1:15" x14ac:dyDescent="0.3">
      <c r="A9" t="s">
        <v>19</v>
      </c>
      <c r="B9" t="s">
        <v>22</v>
      </c>
      <c r="C9" t="s">
        <v>17</v>
      </c>
      <c r="D9">
        <v>19835000</v>
      </c>
      <c r="E9">
        <v>21850000</v>
      </c>
      <c r="F9">
        <f t="shared" si="0"/>
        <v>2015000</v>
      </c>
      <c r="K9">
        <v>0.48635235732009902</v>
      </c>
      <c r="L9" t="s">
        <v>14</v>
      </c>
      <c r="M9" t="s">
        <v>15</v>
      </c>
      <c r="N9" t="s">
        <v>16</v>
      </c>
      <c r="O9" t="s">
        <v>15</v>
      </c>
    </row>
    <row r="10" spans="1:15" x14ac:dyDescent="0.3">
      <c r="A10" t="s">
        <v>19</v>
      </c>
      <c r="B10" t="s">
        <v>22</v>
      </c>
      <c r="C10" t="s">
        <v>18</v>
      </c>
      <c r="D10">
        <v>33935000</v>
      </c>
      <c r="E10">
        <v>37805000</v>
      </c>
      <c r="F10">
        <f t="shared" si="0"/>
        <v>3870000</v>
      </c>
      <c r="K10">
        <v>0.22609819121447</v>
      </c>
      <c r="L10" t="s">
        <v>14</v>
      </c>
      <c r="M10" t="s">
        <v>15</v>
      </c>
      <c r="N10" t="s">
        <v>16</v>
      </c>
      <c r="O10" t="s">
        <v>15</v>
      </c>
    </row>
    <row r="11" spans="1:15" x14ac:dyDescent="0.3">
      <c r="A11" t="s">
        <v>11</v>
      </c>
      <c r="B11" t="s">
        <v>22</v>
      </c>
      <c r="C11" t="s">
        <v>20</v>
      </c>
      <c r="D11">
        <v>12245000</v>
      </c>
      <c r="E11">
        <v>13410000</v>
      </c>
      <c r="F11">
        <f t="shared" si="0"/>
        <v>1165000</v>
      </c>
      <c r="K11">
        <v>1</v>
      </c>
      <c r="L11" t="s">
        <v>14</v>
      </c>
      <c r="M11" t="s">
        <v>15</v>
      </c>
      <c r="N11" t="s">
        <v>16</v>
      </c>
      <c r="O11" t="s">
        <v>15</v>
      </c>
    </row>
    <row r="12" spans="1:15" x14ac:dyDescent="0.3">
      <c r="A12" t="s">
        <v>19</v>
      </c>
      <c r="B12" t="s">
        <v>22</v>
      </c>
      <c r="C12" t="s">
        <v>21</v>
      </c>
      <c r="D12">
        <v>28615000</v>
      </c>
      <c r="E12">
        <v>30660000</v>
      </c>
      <c r="F12">
        <f t="shared" si="0"/>
        <v>2045000</v>
      </c>
      <c r="K12">
        <v>0.81173594132029303</v>
      </c>
      <c r="L12" t="s">
        <v>14</v>
      </c>
      <c r="M12" t="s">
        <v>15</v>
      </c>
      <c r="N12" t="s">
        <v>16</v>
      </c>
      <c r="O12" t="s">
        <v>15</v>
      </c>
    </row>
    <row r="13" spans="1:15" x14ac:dyDescent="0.3">
      <c r="A13" t="s">
        <v>19</v>
      </c>
      <c r="B13" t="s">
        <v>22</v>
      </c>
      <c r="C13" t="s">
        <v>24</v>
      </c>
      <c r="D13">
        <v>17050000</v>
      </c>
      <c r="E13">
        <v>19540000</v>
      </c>
      <c r="F13">
        <f t="shared" si="0"/>
        <v>2490000</v>
      </c>
      <c r="K13">
        <v>0.96385542168674698</v>
      </c>
      <c r="L13" t="s">
        <v>14</v>
      </c>
      <c r="M13" t="s">
        <v>15</v>
      </c>
      <c r="N13" t="s">
        <v>16</v>
      </c>
      <c r="O13" t="s">
        <v>15</v>
      </c>
    </row>
    <row r="14" spans="1:15" x14ac:dyDescent="0.3">
      <c r="A14" t="s">
        <v>11</v>
      </c>
      <c r="B14" t="s">
        <v>22</v>
      </c>
      <c r="C14" t="s">
        <v>25</v>
      </c>
      <c r="D14">
        <v>6460000</v>
      </c>
      <c r="E14">
        <v>15065000</v>
      </c>
      <c r="F14">
        <f t="shared" si="0"/>
        <v>8605000</v>
      </c>
      <c r="K14">
        <v>1</v>
      </c>
      <c r="L14" t="s">
        <v>14</v>
      </c>
      <c r="M14" t="s">
        <v>15</v>
      </c>
      <c r="N14" t="s">
        <v>16</v>
      </c>
      <c r="O14" t="s">
        <v>15</v>
      </c>
    </row>
    <row r="15" spans="1:15" x14ac:dyDescent="0.3">
      <c r="A15" t="s">
        <v>11</v>
      </c>
      <c r="B15" t="s">
        <v>22</v>
      </c>
      <c r="C15" t="s">
        <v>26</v>
      </c>
      <c r="D15">
        <v>10780000</v>
      </c>
      <c r="E15">
        <v>13665000</v>
      </c>
      <c r="F15">
        <f t="shared" si="0"/>
        <v>2885000</v>
      </c>
      <c r="K15">
        <v>1</v>
      </c>
      <c r="L15" t="s">
        <v>14</v>
      </c>
      <c r="M15" t="s">
        <v>15</v>
      </c>
      <c r="N15" t="s">
        <v>16</v>
      </c>
      <c r="O15" t="s">
        <v>15</v>
      </c>
    </row>
    <row r="16" spans="1:15" x14ac:dyDescent="0.3">
      <c r="A16" t="s">
        <v>19</v>
      </c>
      <c r="B16" t="s">
        <v>22</v>
      </c>
      <c r="C16" t="s">
        <v>27</v>
      </c>
      <c r="D16">
        <v>45730000</v>
      </c>
      <c r="E16">
        <v>49330000</v>
      </c>
      <c r="F16">
        <f t="shared" si="0"/>
        <v>3600000</v>
      </c>
      <c r="K16">
        <v>0.25555555555555598</v>
      </c>
      <c r="L16" t="s">
        <v>14</v>
      </c>
      <c r="M16" t="s">
        <v>15</v>
      </c>
      <c r="N16" t="s">
        <v>16</v>
      </c>
      <c r="O16" t="s">
        <v>15</v>
      </c>
    </row>
    <row r="17" spans="1:15" x14ac:dyDescent="0.3">
      <c r="A17" t="s">
        <v>11</v>
      </c>
      <c r="B17" t="s">
        <v>28</v>
      </c>
      <c r="C17" t="s">
        <v>13</v>
      </c>
      <c r="D17">
        <v>14730000</v>
      </c>
      <c r="E17">
        <v>17120000</v>
      </c>
      <c r="F17">
        <f t="shared" si="0"/>
        <v>2390000</v>
      </c>
      <c r="K17">
        <v>0.97280334728033502</v>
      </c>
      <c r="L17" t="s">
        <v>14</v>
      </c>
      <c r="M17" t="s">
        <v>15</v>
      </c>
      <c r="N17" t="s">
        <v>16</v>
      </c>
      <c r="O17" t="s">
        <v>15</v>
      </c>
    </row>
    <row r="18" spans="1:15" x14ac:dyDescent="0.3">
      <c r="A18" t="s">
        <v>11</v>
      </c>
      <c r="B18" t="s">
        <v>28</v>
      </c>
      <c r="C18" t="s">
        <v>17</v>
      </c>
      <c r="D18">
        <v>4055000</v>
      </c>
      <c r="E18">
        <v>5770000</v>
      </c>
      <c r="F18">
        <f t="shared" si="0"/>
        <v>1715000</v>
      </c>
      <c r="K18">
        <v>0.93002915451894996</v>
      </c>
      <c r="L18" t="s">
        <v>14</v>
      </c>
      <c r="M18" t="s">
        <v>15</v>
      </c>
      <c r="N18" t="s">
        <v>16</v>
      </c>
      <c r="O18" t="s">
        <v>15</v>
      </c>
    </row>
    <row r="19" spans="1:15" x14ac:dyDescent="0.3">
      <c r="A19" t="s">
        <v>11</v>
      </c>
      <c r="B19" t="s">
        <v>28</v>
      </c>
      <c r="C19" t="s">
        <v>18</v>
      </c>
      <c r="D19">
        <v>13830000</v>
      </c>
      <c r="E19">
        <v>15845000</v>
      </c>
      <c r="F19">
        <f t="shared" si="0"/>
        <v>2015000</v>
      </c>
      <c r="K19">
        <v>0.952853598014888</v>
      </c>
      <c r="L19" t="s">
        <v>14</v>
      </c>
      <c r="M19" t="s">
        <v>15</v>
      </c>
      <c r="N19" t="s">
        <v>16</v>
      </c>
      <c r="O19" t="s">
        <v>15</v>
      </c>
    </row>
    <row r="20" spans="1:15" x14ac:dyDescent="0.3">
      <c r="A20" t="s">
        <v>11</v>
      </c>
      <c r="B20" t="s">
        <v>28</v>
      </c>
      <c r="C20" t="s">
        <v>20</v>
      </c>
      <c r="D20">
        <v>4765000</v>
      </c>
      <c r="E20">
        <v>6365000</v>
      </c>
      <c r="F20">
        <f t="shared" si="0"/>
        <v>1600000</v>
      </c>
      <c r="K20">
        <v>0.921875</v>
      </c>
      <c r="L20" t="s">
        <v>14</v>
      </c>
      <c r="M20" t="s">
        <v>15</v>
      </c>
      <c r="N20" t="s">
        <v>16</v>
      </c>
      <c r="O20" t="s">
        <v>15</v>
      </c>
    </row>
    <row r="21" spans="1:15" x14ac:dyDescent="0.3">
      <c r="A21" t="s">
        <v>11</v>
      </c>
      <c r="B21" t="s">
        <v>28</v>
      </c>
      <c r="C21" t="s">
        <v>21</v>
      </c>
      <c r="D21">
        <v>11885000</v>
      </c>
      <c r="E21">
        <v>14265000</v>
      </c>
      <c r="F21">
        <f t="shared" si="0"/>
        <v>2380000</v>
      </c>
      <c r="K21">
        <v>0.96008403361344496</v>
      </c>
      <c r="L21" t="s">
        <v>14</v>
      </c>
      <c r="M21" t="s">
        <v>15</v>
      </c>
      <c r="N21" t="s">
        <v>16</v>
      </c>
      <c r="O21" t="s">
        <v>15</v>
      </c>
    </row>
    <row r="22" spans="1:15" x14ac:dyDescent="0.3">
      <c r="A22" t="s">
        <v>11</v>
      </c>
      <c r="B22" t="s">
        <v>29</v>
      </c>
      <c r="C22" t="s">
        <v>13</v>
      </c>
      <c r="D22">
        <v>3565000</v>
      </c>
      <c r="E22">
        <v>4940000</v>
      </c>
      <c r="F22">
        <f t="shared" si="0"/>
        <v>1375000</v>
      </c>
      <c r="G22">
        <v>31</v>
      </c>
      <c r="H22">
        <v>4.5</v>
      </c>
      <c r="I22">
        <v>5</v>
      </c>
      <c r="J22">
        <f t="shared" ref="J22:J85" si="1">I22-H22</f>
        <v>0.5</v>
      </c>
      <c r="K22">
        <v>0.189090909090909</v>
      </c>
      <c r="L22" t="s">
        <v>14</v>
      </c>
      <c r="M22" t="s">
        <v>30</v>
      </c>
      <c r="N22" t="s">
        <v>16</v>
      </c>
      <c r="O22" t="s">
        <v>31</v>
      </c>
    </row>
    <row r="23" spans="1:15" x14ac:dyDescent="0.3">
      <c r="A23" t="s">
        <v>11</v>
      </c>
      <c r="B23" t="s">
        <v>29</v>
      </c>
      <c r="C23" t="s">
        <v>17</v>
      </c>
      <c r="D23">
        <v>18190000</v>
      </c>
      <c r="E23">
        <v>19310000</v>
      </c>
      <c r="F23">
        <f t="shared" si="0"/>
        <v>1120000</v>
      </c>
      <c r="G23">
        <v>43</v>
      </c>
      <c r="H23">
        <v>18</v>
      </c>
      <c r="I23">
        <v>19</v>
      </c>
      <c r="J23">
        <f t="shared" si="1"/>
        <v>1</v>
      </c>
      <c r="K23">
        <v>0.45089285714285698</v>
      </c>
      <c r="L23" t="s">
        <v>14</v>
      </c>
      <c r="M23" t="s">
        <v>30</v>
      </c>
      <c r="N23" t="s">
        <v>16</v>
      </c>
      <c r="O23" t="s">
        <v>31</v>
      </c>
    </row>
    <row r="24" spans="1:15" x14ac:dyDescent="0.3">
      <c r="A24" t="s">
        <v>19</v>
      </c>
      <c r="B24" t="s">
        <v>29</v>
      </c>
      <c r="C24" t="s">
        <v>18</v>
      </c>
      <c r="D24">
        <v>15720000</v>
      </c>
      <c r="E24">
        <v>17665000</v>
      </c>
      <c r="F24">
        <f t="shared" si="0"/>
        <v>1945000</v>
      </c>
      <c r="G24">
        <v>32</v>
      </c>
      <c r="H24">
        <v>16</v>
      </c>
      <c r="I24">
        <v>17.5</v>
      </c>
      <c r="J24">
        <f t="shared" si="1"/>
        <v>1.5</v>
      </c>
      <c r="K24">
        <v>0.56041131105398501</v>
      </c>
      <c r="L24" t="s">
        <v>14</v>
      </c>
      <c r="M24" t="s">
        <v>30</v>
      </c>
      <c r="N24" t="s">
        <v>16</v>
      </c>
      <c r="O24" t="s">
        <v>31</v>
      </c>
    </row>
    <row r="25" spans="1:15" x14ac:dyDescent="0.3">
      <c r="A25" t="s">
        <v>19</v>
      </c>
      <c r="B25" t="s">
        <v>29</v>
      </c>
      <c r="C25" t="s">
        <v>20</v>
      </c>
      <c r="D25">
        <v>13865000</v>
      </c>
      <c r="E25">
        <v>17010000</v>
      </c>
      <c r="F25">
        <f t="shared" si="0"/>
        <v>3145000</v>
      </c>
      <c r="G25">
        <v>34</v>
      </c>
      <c r="H25">
        <v>15.5</v>
      </c>
      <c r="I25">
        <v>16.5</v>
      </c>
      <c r="J25">
        <f t="shared" si="1"/>
        <v>1</v>
      </c>
      <c r="K25">
        <v>0.497615262321145</v>
      </c>
      <c r="L25" t="s">
        <v>14</v>
      </c>
      <c r="M25" t="s">
        <v>30</v>
      </c>
      <c r="N25" t="s">
        <v>16</v>
      </c>
      <c r="O25" t="s">
        <v>31</v>
      </c>
    </row>
    <row r="26" spans="1:15" x14ac:dyDescent="0.3">
      <c r="A26" t="s">
        <v>32</v>
      </c>
      <c r="B26" t="s">
        <v>29</v>
      </c>
      <c r="C26" t="s">
        <v>21</v>
      </c>
      <c r="D26">
        <v>4020000</v>
      </c>
      <c r="E26">
        <v>5080000</v>
      </c>
      <c r="F26">
        <f t="shared" si="0"/>
        <v>1060000</v>
      </c>
      <c r="G26">
        <v>34</v>
      </c>
      <c r="H26">
        <v>3</v>
      </c>
      <c r="I26">
        <v>4</v>
      </c>
      <c r="J26">
        <f t="shared" si="1"/>
        <v>1</v>
      </c>
      <c r="K26">
        <v>0.65566037735849103</v>
      </c>
      <c r="L26" t="s">
        <v>33</v>
      </c>
      <c r="M26" t="s">
        <v>30</v>
      </c>
      <c r="N26" t="s">
        <v>16</v>
      </c>
      <c r="O26" t="s">
        <v>31</v>
      </c>
    </row>
    <row r="27" spans="1:15" x14ac:dyDescent="0.3">
      <c r="A27" t="s">
        <v>11</v>
      </c>
      <c r="B27" t="s">
        <v>29</v>
      </c>
      <c r="C27" t="s">
        <v>24</v>
      </c>
      <c r="D27">
        <v>29260000</v>
      </c>
      <c r="E27">
        <v>31045000</v>
      </c>
      <c r="F27">
        <f t="shared" si="0"/>
        <v>1785000</v>
      </c>
      <c r="G27">
        <v>37</v>
      </c>
      <c r="H27">
        <v>29</v>
      </c>
      <c r="I27">
        <v>31</v>
      </c>
      <c r="J27">
        <f t="shared" si="1"/>
        <v>2</v>
      </c>
      <c r="K27">
        <v>4.20168067226891E-2</v>
      </c>
      <c r="L27" t="s">
        <v>14</v>
      </c>
      <c r="M27" t="s">
        <v>30</v>
      </c>
      <c r="N27" t="s">
        <v>16</v>
      </c>
      <c r="O27" t="s">
        <v>31</v>
      </c>
    </row>
    <row r="28" spans="1:15" x14ac:dyDescent="0.3">
      <c r="A28" t="s">
        <v>11</v>
      </c>
      <c r="B28" t="s">
        <v>29</v>
      </c>
      <c r="C28" t="s">
        <v>25</v>
      </c>
      <c r="D28">
        <v>25435000</v>
      </c>
      <c r="E28">
        <v>27775000</v>
      </c>
      <c r="F28">
        <f t="shared" si="0"/>
        <v>2340000</v>
      </c>
      <c r="J28">
        <f t="shared" si="1"/>
        <v>0</v>
      </c>
      <c r="K28">
        <v>7.9059829059829098E-2</v>
      </c>
      <c r="L28" t="s">
        <v>14</v>
      </c>
      <c r="M28" t="s">
        <v>30</v>
      </c>
      <c r="N28" t="s">
        <v>16</v>
      </c>
      <c r="O28" t="s">
        <v>31</v>
      </c>
    </row>
    <row r="29" spans="1:15" x14ac:dyDescent="0.3">
      <c r="A29" t="s">
        <v>11</v>
      </c>
      <c r="B29" t="s">
        <v>29</v>
      </c>
      <c r="C29" t="s">
        <v>26</v>
      </c>
      <c r="D29">
        <v>14285000</v>
      </c>
      <c r="E29">
        <v>15320000</v>
      </c>
      <c r="F29">
        <f t="shared" si="0"/>
        <v>1035000</v>
      </c>
      <c r="J29">
        <f t="shared" si="1"/>
        <v>0</v>
      </c>
      <c r="K29">
        <v>7.7294685990338202E-2</v>
      </c>
      <c r="L29" t="s">
        <v>14</v>
      </c>
      <c r="M29" t="s">
        <v>30</v>
      </c>
      <c r="N29" t="s">
        <v>16</v>
      </c>
      <c r="O29" t="s">
        <v>31</v>
      </c>
    </row>
    <row r="30" spans="1:15" x14ac:dyDescent="0.3">
      <c r="A30" t="s">
        <v>11</v>
      </c>
      <c r="B30" t="s">
        <v>34</v>
      </c>
      <c r="C30" t="s">
        <v>13</v>
      </c>
      <c r="D30">
        <v>25445000</v>
      </c>
      <c r="E30">
        <v>27770000</v>
      </c>
      <c r="F30">
        <f t="shared" si="0"/>
        <v>2325000</v>
      </c>
      <c r="J30">
        <f t="shared" si="1"/>
        <v>0</v>
      </c>
      <c r="K30">
        <v>0.36559139784946199</v>
      </c>
      <c r="L30" t="s">
        <v>14</v>
      </c>
      <c r="M30" t="s">
        <v>30</v>
      </c>
      <c r="N30" t="s">
        <v>35</v>
      </c>
      <c r="O30" t="s">
        <v>31</v>
      </c>
    </row>
    <row r="31" spans="1:15" x14ac:dyDescent="0.3">
      <c r="A31" t="s">
        <v>11</v>
      </c>
      <c r="B31" t="s">
        <v>34</v>
      </c>
      <c r="C31" t="s">
        <v>17</v>
      </c>
      <c r="D31">
        <v>7375000</v>
      </c>
      <c r="E31">
        <v>9500000</v>
      </c>
      <c r="F31">
        <f t="shared" si="0"/>
        <v>2125000</v>
      </c>
      <c r="J31">
        <f t="shared" si="1"/>
        <v>0</v>
      </c>
      <c r="K31">
        <v>0.317647058823529</v>
      </c>
      <c r="L31" t="s">
        <v>14</v>
      </c>
      <c r="M31" t="s">
        <v>30</v>
      </c>
      <c r="N31" t="s">
        <v>35</v>
      </c>
      <c r="O31" t="s">
        <v>31</v>
      </c>
    </row>
    <row r="32" spans="1:15" x14ac:dyDescent="0.3">
      <c r="A32" t="s">
        <v>11</v>
      </c>
      <c r="B32" t="s">
        <v>34</v>
      </c>
      <c r="C32" t="s">
        <v>18</v>
      </c>
      <c r="D32">
        <v>27020000</v>
      </c>
      <c r="E32">
        <v>27220000</v>
      </c>
      <c r="F32">
        <f t="shared" si="0"/>
        <v>200000</v>
      </c>
      <c r="J32">
        <f t="shared" si="1"/>
        <v>0</v>
      </c>
      <c r="K32">
        <v>0.45</v>
      </c>
      <c r="L32" t="s">
        <v>14</v>
      </c>
      <c r="M32" t="s">
        <v>30</v>
      </c>
      <c r="N32" t="s">
        <v>35</v>
      </c>
      <c r="O32" t="s">
        <v>31</v>
      </c>
    </row>
    <row r="33" spans="1:15" x14ac:dyDescent="0.3">
      <c r="A33" t="s">
        <v>11</v>
      </c>
      <c r="B33" t="s">
        <v>34</v>
      </c>
      <c r="C33" t="s">
        <v>20</v>
      </c>
      <c r="D33">
        <v>2290000</v>
      </c>
      <c r="E33">
        <v>4750000</v>
      </c>
      <c r="F33">
        <f t="shared" si="0"/>
        <v>2460000</v>
      </c>
      <c r="J33">
        <f t="shared" si="1"/>
        <v>0</v>
      </c>
      <c r="K33">
        <v>0.26422764227642298</v>
      </c>
      <c r="L33" t="s">
        <v>14</v>
      </c>
      <c r="M33" t="s">
        <v>30</v>
      </c>
      <c r="N33" t="s">
        <v>35</v>
      </c>
      <c r="O33" t="s">
        <v>31</v>
      </c>
    </row>
    <row r="34" spans="1:15" x14ac:dyDescent="0.3">
      <c r="A34" t="s">
        <v>11</v>
      </c>
      <c r="B34" t="s">
        <v>34</v>
      </c>
      <c r="C34" t="s">
        <v>21</v>
      </c>
      <c r="D34">
        <v>1250000</v>
      </c>
      <c r="E34">
        <v>2210000</v>
      </c>
      <c r="F34">
        <f t="shared" si="0"/>
        <v>960000</v>
      </c>
      <c r="J34">
        <f t="shared" si="1"/>
        <v>0</v>
      </c>
      <c r="K34">
        <v>0.97916666666666696</v>
      </c>
      <c r="L34" t="s">
        <v>14</v>
      </c>
      <c r="M34" t="s">
        <v>30</v>
      </c>
      <c r="N34" t="s">
        <v>35</v>
      </c>
      <c r="O34" t="s">
        <v>31</v>
      </c>
    </row>
    <row r="35" spans="1:15" x14ac:dyDescent="0.3">
      <c r="A35" t="s">
        <v>11</v>
      </c>
      <c r="B35" t="s">
        <v>34</v>
      </c>
      <c r="C35" t="s">
        <v>24</v>
      </c>
      <c r="D35">
        <v>15255000</v>
      </c>
      <c r="E35">
        <v>17180000</v>
      </c>
      <c r="F35">
        <f t="shared" si="0"/>
        <v>1925000</v>
      </c>
      <c r="J35">
        <f t="shared" si="1"/>
        <v>0</v>
      </c>
      <c r="K35">
        <v>2.07792207792208E-2</v>
      </c>
      <c r="L35" t="s">
        <v>14</v>
      </c>
      <c r="M35" t="s">
        <v>30</v>
      </c>
      <c r="N35" t="s">
        <v>35</v>
      </c>
      <c r="O35" t="s">
        <v>31</v>
      </c>
    </row>
    <row r="36" spans="1:15" x14ac:dyDescent="0.3">
      <c r="A36" t="s">
        <v>11</v>
      </c>
      <c r="B36" t="s">
        <v>34</v>
      </c>
      <c r="C36" t="s">
        <v>25</v>
      </c>
      <c r="D36">
        <v>16260000</v>
      </c>
      <c r="E36">
        <v>18110000</v>
      </c>
      <c r="F36">
        <f t="shared" si="0"/>
        <v>1850000</v>
      </c>
      <c r="J36">
        <f t="shared" si="1"/>
        <v>0</v>
      </c>
      <c r="K36">
        <v>0.44864864864864901</v>
      </c>
      <c r="L36" t="s">
        <v>14</v>
      </c>
      <c r="M36" t="s">
        <v>30</v>
      </c>
      <c r="N36" t="s">
        <v>35</v>
      </c>
      <c r="O36" t="s">
        <v>31</v>
      </c>
    </row>
    <row r="37" spans="1:15" x14ac:dyDescent="0.3">
      <c r="A37" t="s">
        <v>11</v>
      </c>
      <c r="B37" t="s">
        <v>34</v>
      </c>
      <c r="C37" t="s">
        <v>26</v>
      </c>
      <c r="D37">
        <v>16190000</v>
      </c>
      <c r="E37">
        <v>18050000</v>
      </c>
      <c r="F37">
        <f t="shared" si="0"/>
        <v>1860000</v>
      </c>
      <c r="J37">
        <f t="shared" si="1"/>
        <v>0</v>
      </c>
      <c r="K37">
        <v>0.33333333333333298</v>
      </c>
      <c r="L37" t="s">
        <v>14</v>
      </c>
      <c r="M37" t="s">
        <v>30</v>
      </c>
      <c r="N37" t="s">
        <v>35</v>
      </c>
      <c r="O37" t="s">
        <v>31</v>
      </c>
    </row>
    <row r="38" spans="1:15" x14ac:dyDescent="0.3">
      <c r="A38" t="s">
        <v>11</v>
      </c>
      <c r="B38" t="s">
        <v>34</v>
      </c>
      <c r="C38" t="s">
        <v>27</v>
      </c>
      <c r="D38">
        <v>2630000</v>
      </c>
      <c r="E38">
        <v>3140000</v>
      </c>
      <c r="F38">
        <f t="shared" si="0"/>
        <v>510000</v>
      </c>
      <c r="J38">
        <f t="shared" si="1"/>
        <v>0</v>
      </c>
      <c r="K38">
        <v>0.58823529411764697</v>
      </c>
      <c r="L38" t="s">
        <v>14</v>
      </c>
      <c r="M38" t="s">
        <v>30</v>
      </c>
      <c r="N38" t="s">
        <v>35</v>
      </c>
      <c r="O38" t="s">
        <v>31</v>
      </c>
    </row>
    <row r="39" spans="1:15" x14ac:dyDescent="0.3">
      <c r="A39" t="s">
        <v>11</v>
      </c>
      <c r="B39" t="s">
        <v>36</v>
      </c>
      <c r="C39" t="s">
        <v>13</v>
      </c>
      <c r="D39">
        <v>25445000</v>
      </c>
      <c r="E39">
        <v>27770000</v>
      </c>
      <c r="F39">
        <f t="shared" si="0"/>
        <v>2325000</v>
      </c>
      <c r="J39">
        <f t="shared" si="1"/>
        <v>0</v>
      </c>
      <c r="K39">
        <v>0.36559139784946199</v>
      </c>
      <c r="L39" t="s">
        <v>14</v>
      </c>
      <c r="M39" t="s">
        <v>30</v>
      </c>
      <c r="N39" t="s">
        <v>35</v>
      </c>
      <c r="O39" t="s">
        <v>31</v>
      </c>
    </row>
    <row r="40" spans="1:15" x14ac:dyDescent="0.3">
      <c r="A40" t="s">
        <v>11</v>
      </c>
      <c r="B40" t="s">
        <v>36</v>
      </c>
      <c r="C40" t="s">
        <v>17</v>
      </c>
      <c r="D40">
        <v>7375000</v>
      </c>
      <c r="E40">
        <v>9500000</v>
      </c>
      <c r="F40">
        <f t="shared" si="0"/>
        <v>2125000</v>
      </c>
      <c r="J40">
        <f t="shared" si="1"/>
        <v>0</v>
      </c>
      <c r="K40">
        <v>0.317647058823529</v>
      </c>
      <c r="L40" t="s">
        <v>14</v>
      </c>
      <c r="M40" t="s">
        <v>30</v>
      </c>
      <c r="N40" t="s">
        <v>35</v>
      </c>
      <c r="O40" t="s">
        <v>31</v>
      </c>
    </row>
    <row r="41" spans="1:15" x14ac:dyDescent="0.3">
      <c r="A41" t="s">
        <v>11</v>
      </c>
      <c r="B41" t="s">
        <v>36</v>
      </c>
      <c r="C41" t="s">
        <v>18</v>
      </c>
      <c r="D41">
        <v>27020000</v>
      </c>
      <c r="E41">
        <v>27220000</v>
      </c>
      <c r="F41">
        <f t="shared" si="0"/>
        <v>200000</v>
      </c>
      <c r="J41">
        <f t="shared" si="1"/>
        <v>0</v>
      </c>
      <c r="K41">
        <v>0.45</v>
      </c>
      <c r="L41" t="s">
        <v>14</v>
      </c>
      <c r="M41" t="s">
        <v>30</v>
      </c>
      <c r="N41" t="s">
        <v>35</v>
      </c>
      <c r="O41" t="s">
        <v>31</v>
      </c>
    </row>
    <row r="42" spans="1:15" x14ac:dyDescent="0.3">
      <c r="A42" t="s">
        <v>11</v>
      </c>
      <c r="B42" t="s">
        <v>36</v>
      </c>
      <c r="C42" t="s">
        <v>20</v>
      </c>
      <c r="D42">
        <v>2290000</v>
      </c>
      <c r="E42">
        <v>4750000</v>
      </c>
      <c r="F42">
        <f t="shared" si="0"/>
        <v>2460000</v>
      </c>
      <c r="J42">
        <f t="shared" si="1"/>
        <v>0</v>
      </c>
      <c r="K42">
        <v>0.26422764227642298</v>
      </c>
      <c r="L42" t="s">
        <v>14</v>
      </c>
      <c r="M42" t="s">
        <v>30</v>
      </c>
      <c r="N42" t="s">
        <v>35</v>
      </c>
      <c r="O42" t="s">
        <v>31</v>
      </c>
    </row>
    <row r="43" spans="1:15" x14ac:dyDescent="0.3">
      <c r="A43" t="s">
        <v>11</v>
      </c>
      <c r="B43" t="s">
        <v>36</v>
      </c>
      <c r="C43" t="s">
        <v>21</v>
      </c>
      <c r="D43">
        <v>1250000</v>
      </c>
      <c r="E43">
        <v>2210000</v>
      </c>
      <c r="F43">
        <f t="shared" si="0"/>
        <v>960000</v>
      </c>
      <c r="J43">
        <f t="shared" si="1"/>
        <v>0</v>
      </c>
      <c r="K43">
        <v>0.97916666666666696</v>
      </c>
      <c r="L43" t="s">
        <v>14</v>
      </c>
      <c r="M43" t="s">
        <v>30</v>
      </c>
      <c r="N43" t="s">
        <v>35</v>
      </c>
      <c r="O43" t="s">
        <v>31</v>
      </c>
    </row>
    <row r="44" spans="1:15" x14ac:dyDescent="0.3">
      <c r="A44" t="s">
        <v>11</v>
      </c>
      <c r="B44" t="s">
        <v>36</v>
      </c>
      <c r="C44" t="s">
        <v>24</v>
      </c>
      <c r="D44">
        <v>15255000</v>
      </c>
      <c r="E44">
        <v>17180000</v>
      </c>
      <c r="F44">
        <f t="shared" si="0"/>
        <v>1925000</v>
      </c>
      <c r="J44">
        <f t="shared" si="1"/>
        <v>0</v>
      </c>
      <c r="K44">
        <v>2.07792207792208E-2</v>
      </c>
      <c r="L44" t="s">
        <v>14</v>
      </c>
      <c r="M44" t="s">
        <v>30</v>
      </c>
      <c r="N44" t="s">
        <v>35</v>
      </c>
      <c r="O44" t="s">
        <v>31</v>
      </c>
    </row>
    <row r="45" spans="1:15" x14ac:dyDescent="0.3">
      <c r="A45" t="s">
        <v>11</v>
      </c>
      <c r="B45" t="s">
        <v>36</v>
      </c>
      <c r="C45" t="s">
        <v>25</v>
      </c>
      <c r="D45">
        <v>16260000</v>
      </c>
      <c r="E45">
        <v>18110000</v>
      </c>
      <c r="F45">
        <f t="shared" si="0"/>
        <v>1850000</v>
      </c>
      <c r="J45">
        <f t="shared" si="1"/>
        <v>0</v>
      </c>
      <c r="K45">
        <v>0.44864864864864901</v>
      </c>
      <c r="L45" t="s">
        <v>14</v>
      </c>
      <c r="M45" t="s">
        <v>30</v>
      </c>
      <c r="N45" t="s">
        <v>35</v>
      </c>
      <c r="O45" t="s">
        <v>31</v>
      </c>
    </row>
    <row r="46" spans="1:15" x14ac:dyDescent="0.3">
      <c r="A46" t="s">
        <v>11</v>
      </c>
      <c r="B46" t="s">
        <v>36</v>
      </c>
      <c r="C46" t="s">
        <v>26</v>
      </c>
      <c r="D46">
        <v>16190000</v>
      </c>
      <c r="E46">
        <v>18050000</v>
      </c>
      <c r="F46">
        <f t="shared" si="0"/>
        <v>1860000</v>
      </c>
      <c r="J46">
        <f t="shared" si="1"/>
        <v>0</v>
      </c>
      <c r="K46">
        <v>0.33333333333333298</v>
      </c>
      <c r="L46" t="s">
        <v>14</v>
      </c>
      <c r="M46" t="s">
        <v>30</v>
      </c>
      <c r="N46" t="s">
        <v>35</v>
      </c>
      <c r="O46" t="s">
        <v>31</v>
      </c>
    </row>
    <row r="47" spans="1:15" x14ac:dyDescent="0.3">
      <c r="A47" t="s">
        <v>11</v>
      </c>
      <c r="B47" t="s">
        <v>36</v>
      </c>
      <c r="C47" t="s">
        <v>27</v>
      </c>
      <c r="D47">
        <v>2630000</v>
      </c>
      <c r="E47">
        <v>3140000</v>
      </c>
      <c r="F47">
        <f t="shared" si="0"/>
        <v>510000</v>
      </c>
      <c r="J47">
        <f t="shared" si="1"/>
        <v>0</v>
      </c>
      <c r="K47">
        <v>0.58823529411764697</v>
      </c>
      <c r="L47" t="s">
        <v>14</v>
      </c>
      <c r="M47" t="s">
        <v>30</v>
      </c>
      <c r="N47" t="s">
        <v>35</v>
      </c>
      <c r="O47" t="s">
        <v>31</v>
      </c>
    </row>
    <row r="48" spans="1:15" x14ac:dyDescent="0.3">
      <c r="A48" t="s">
        <v>11</v>
      </c>
      <c r="B48" t="s">
        <v>37</v>
      </c>
      <c r="C48" t="s">
        <v>13</v>
      </c>
      <c r="D48">
        <v>129010000</v>
      </c>
      <c r="E48">
        <v>132390000</v>
      </c>
      <c r="F48">
        <f t="shared" si="0"/>
        <v>3380000</v>
      </c>
      <c r="J48">
        <f t="shared" si="1"/>
        <v>0</v>
      </c>
      <c r="K48">
        <v>0.95710059171597595</v>
      </c>
      <c r="L48" t="s">
        <v>14</v>
      </c>
      <c r="M48" t="s">
        <v>15</v>
      </c>
      <c r="N48" t="s">
        <v>38</v>
      </c>
      <c r="O48" t="s">
        <v>15</v>
      </c>
    </row>
    <row r="49" spans="1:15" x14ac:dyDescent="0.3">
      <c r="A49" t="s">
        <v>11</v>
      </c>
      <c r="B49" t="s">
        <v>37</v>
      </c>
      <c r="C49" t="s">
        <v>17</v>
      </c>
      <c r="D49">
        <v>94280000</v>
      </c>
      <c r="E49">
        <v>97620000</v>
      </c>
      <c r="F49">
        <f t="shared" si="0"/>
        <v>3340000</v>
      </c>
      <c r="J49">
        <f t="shared" si="1"/>
        <v>0</v>
      </c>
      <c r="K49">
        <v>0.97155688622754499</v>
      </c>
      <c r="L49" t="s">
        <v>14</v>
      </c>
      <c r="M49" t="s">
        <v>15</v>
      </c>
      <c r="N49" t="s">
        <v>38</v>
      </c>
      <c r="O49" t="s">
        <v>15</v>
      </c>
    </row>
    <row r="50" spans="1:15" x14ac:dyDescent="0.3">
      <c r="A50" t="s">
        <v>19</v>
      </c>
      <c r="B50" t="s">
        <v>37</v>
      </c>
      <c r="C50" t="s">
        <v>18</v>
      </c>
      <c r="D50">
        <v>99355000</v>
      </c>
      <c r="E50">
        <v>101980000</v>
      </c>
      <c r="F50">
        <f t="shared" si="0"/>
        <v>2625000</v>
      </c>
      <c r="J50">
        <f t="shared" si="1"/>
        <v>0</v>
      </c>
      <c r="K50">
        <v>0.952380952380952</v>
      </c>
      <c r="L50" t="s">
        <v>14</v>
      </c>
      <c r="M50" t="s">
        <v>15</v>
      </c>
      <c r="N50" t="s">
        <v>38</v>
      </c>
      <c r="O50" t="s">
        <v>15</v>
      </c>
    </row>
    <row r="51" spans="1:15" x14ac:dyDescent="0.3">
      <c r="A51" t="s">
        <v>32</v>
      </c>
      <c r="B51" t="s">
        <v>37</v>
      </c>
      <c r="C51" t="s">
        <v>20</v>
      </c>
      <c r="D51">
        <v>94170000</v>
      </c>
      <c r="E51">
        <v>99920000</v>
      </c>
      <c r="F51">
        <f t="shared" si="0"/>
        <v>5750000</v>
      </c>
      <c r="J51">
        <f t="shared" si="1"/>
        <v>0</v>
      </c>
      <c r="K51">
        <v>0.41739130434782601</v>
      </c>
      <c r="L51" t="s">
        <v>33</v>
      </c>
      <c r="M51" t="s">
        <v>15</v>
      </c>
      <c r="N51" t="s">
        <v>38</v>
      </c>
      <c r="O51" t="s">
        <v>15</v>
      </c>
    </row>
    <row r="52" spans="1:15" x14ac:dyDescent="0.3">
      <c r="A52" t="s">
        <v>11</v>
      </c>
      <c r="B52" t="s">
        <v>37</v>
      </c>
      <c r="C52" t="s">
        <v>21</v>
      </c>
      <c r="D52">
        <v>52065000</v>
      </c>
      <c r="E52">
        <v>54830000</v>
      </c>
      <c r="F52">
        <f t="shared" si="0"/>
        <v>2765000</v>
      </c>
      <c r="J52">
        <f t="shared" si="1"/>
        <v>0</v>
      </c>
      <c r="K52">
        <v>0.96925858951175403</v>
      </c>
      <c r="L52" t="s">
        <v>14</v>
      </c>
      <c r="M52" t="s">
        <v>15</v>
      </c>
      <c r="N52" t="s">
        <v>38</v>
      </c>
      <c r="O52" t="s">
        <v>15</v>
      </c>
    </row>
    <row r="53" spans="1:15" x14ac:dyDescent="0.3">
      <c r="A53" t="s">
        <v>32</v>
      </c>
      <c r="B53" t="s">
        <v>37</v>
      </c>
      <c r="C53" t="s">
        <v>24</v>
      </c>
      <c r="D53">
        <v>66950000</v>
      </c>
      <c r="E53">
        <v>70635000</v>
      </c>
      <c r="F53">
        <f t="shared" si="0"/>
        <v>3685000</v>
      </c>
      <c r="J53">
        <f t="shared" si="1"/>
        <v>0</v>
      </c>
      <c r="K53">
        <v>0.70149253731343297</v>
      </c>
      <c r="L53" t="s">
        <v>33</v>
      </c>
      <c r="M53" t="s">
        <v>15</v>
      </c>
      <c r="N53" t="s">
        <v>38</v>
      </c>
      <c r="O53" t="s">
        <v>15</v>
      </c>
    </row>
    <row r="54" spans="1:15" x14ac:dyDescent="0.3">
      <c r="A54" t="s">
        <v>19</v>
      </c>
      <c r="B54" t="s">
        <v>37</v>
      </c>
      <c r="C54" t="s">
        <v>25</v>
      </c>
      <c r="D54">
        <v>30335000</v>
      </c>
      <c r="E54">
        <v>37740000</v>
      </c>
      <c r="F54">
        <f t="shared" si="0"/>
        <v>7405000</v>
      </c>
      <c r="J54">
        <f t="shared" si="1"/>
        <v>0</v>
      </c>
      <c r="K54">
        <v>0.85752869682646904</v>
      </c>
      <c r="L54" t="s">
        <v>14</v>
      </c>
      <c r="M54" t="s">
        <v>15</v>
      </c>
      <c r="N54" t="s">
        <v>38</v>
      </c>
      <c r="O54" t="s">
        <v>15</v>
      </c>
    </row>
    <row r="55" spans="1:15" x14ac:dyDescent="0.3">
      <c r="A55" t="s">
        <v>32</v>
      </c>
      <c r="B55" t="s">
        <v>37</v>
      </c>
      <c r="C55" t="s">
        <v>26</v>
      </c>
      <c r="D55">
        <v>90515000</v>
      </c>
      <c r="E55">
        <v>94215000</v>
      </c>
      <c r="F55">
        <f t="shared" si="0"/>
        <v>3700000</v>
      </c>
      <c r="J55">
        <f t="shared" si="1"/>
        <v>0</v>
      </c>
      <c r="K55">
        <v>0.73243243243243195</v>
      </c>
      <c r="L55" t="s">
        <v>33</v>
      </c>
      <c r="M55" t="s">
        <v>15</v>
      </c>
      <c r="N55" t="s">
        <v>38</v>
      </c>
      <c r="O55" t="s">
        <v>15</v>
      </c>
    </row>
    <row r="56" spans="1:15" x14ac:dyDescent="0.3">
      <c r="A56" t="s">
        <v>11</v>
      </c>
      <c r="B56" t="s">
        <v>39</v>
      </c>
      <c r="C56" t="s">
        <v>13</v>
      </c>
      <c r="D56">
        <v>119460000</v>
      </c>
      <c r="E56">
        <v>122885000</v>
      </c>
      <c r="F56">
        <f t="shared" si="0"/>
        <v>3425000</v>
      </c>
      <c r="J56">
        <f t="shared" si="1"/>
        <v>0</v>
      </c>
      <c r="K56">
        <v>0.95620437956204396</v>
      </c>
      <c r="L56" t="s">
        <v>14</v>
      </c>
      <c r="M56" t="s">
        <v>15</v>
      </c>
      <c r="N56" t="s">
        <v>38</v>
      </c>
      <c r="O56" t="s">
        <v>15</v>
      </c>
    </row>
    <row r="57" spans="1:15" x14ac:dyDescent="0.3">
      <c r="A57" t="s">
        <v>11</v>
      </c>
      <c r="B57" t="s">
        <v>39</v>
      </c>
      <c r="C57" t="s">
        <v>17</v>
      </c>
      <c r="D57">
        <v>51730000</v>
      </c>
      <c r="E57">
        <v>55290000</v>
      </c>
      <c r="F57">
        <f t="shared" si="0"/>
        <v>3560000</v>
      </c>
      <c r="J57">
        <f t="shared" si="1"/>
        <v>0</v>
      </c>
      <c r="K57">
        <v>0.96629213483146104</v>
      </c>
      <c r="L57" t="s">
        <v>14</v>
      </c>
      <c r="M57" t="s">
        <v>15</v>
      </c>
      <c r="N57" t="s">
        <v>38</v>
      </c>
      <c r="O57" t="s">
        <v>15</v>
      </c>
    </row>
    <row r="58" spans="1:15" x14ac:dyDescent="0.3">
      <c r="A58" t="s">
        <v>19</v>
      </c>
      <c r="B58" t="s">
        <v>39</v>
      </c>
      <c r="C58" t="s">
        <v>18</v>
      </c>
      <c r="D58">
        <v>96935000</v>
      </c>
      <c r="E58">
        <v>99500000</v>
      </c>
      <c r="F58">
        <f t="shared" si="0"/>
        <v>2565000</v>
      </c>
      <c r="J58">
        <f t="shared" si="1"/>
        <v>0</v>
      </c>
      <c r="K58">
        <v>0.974658869395711</v>
      </c>
      <c r="L58" t="s">
        <v>14</v>
      </c>
      <c r="M58" t="s">
        <v>15</v>
      </c>
      <c r="N58" t="s">
        <v>38</v>
      </c>
      <c r="O58" t="s">
        <v>15</v>
      </c>
    </row>
    <row r="59" spans="1:15" x14ac:dyDescent="0.3">
      <c r="A59" t="s">
        <v>32</v>
      </c>
      <c r="B59" t="s">
        <v>39</v>
      </c>
      <c r="C59" t="s">
        <v>20</v>
      </c>
      <c r="D59">
        <v>95850000</v>
      </c>
      <c r="E59">
        <v>103085000</v>
      </c>
      <c r="F59">
        <f t="shared" si="0"/>
        <v>7235000</v>
      </c>
      <c r="J59">
        <f t="shared" si="1"/>
        <v>0</v>
      </c>
      <c r="K59">
        <v>0.59986178299930903</v>
      </c>
      <c r="L59" t="s">
        <v>33</v>
      </c>
      <c r="M59" t="s">
        <v>15</v>
      </c>
      <c r="N59" t="s">
        <v>38</v>
      </c>
      <c r="O59" t="s">
        <v>15</v>
      </c>
    </row>
    <row r="60" spans="1:15" x14ac:dyDescent="0.3">
      <c r="A60" t="s">
        <v>11</v>
      </c>
      <c r="B60" t="s">
        <v>39</v>
      </c>
      <c r="C60" t="s">
        <v>21</v>
      </c>
      <c r="D60">
        <v>53545000</v>
      </c>
      <c r="E60">
        <v>56495000</v>
      </c>
      <c r="F60">
        <f t="shared" si="0"/>
        <v>2950000</v>
      </c>
      <c r="J60">
        <f t="shared" si="1"/>
        <v>0</v>
      </c>
      <c r="K60">
        <v>0.94406779661016904</v>
      </c>
      <c r="L60" t="s">
        <v>14</v>
      </c>
      <c r="M60" t="s">
        <v>15</v>
      </c>
      <c r="N60" t="s">
        <v>38</v>
      </c>
      <c r="O60" t="s">
        <v>15</v>
      </c>
    </row>
    <row r="61" spans="1:15" x14ac:dyDescent="0.3">
      <c r="A61" t="s">
        <v>32</v>
      </c>
      <c r="B61" t="s">
        <v>39</v>
      </c>
      <c r="C61" t="s">
        <v>24</v>
      </c>
      <c r="D61">
        <v>66155000</v>
      </c>
      <c r="E61">
        <v>72790000</v>
      </c>
      <c r="F61">
        <f t="shared" si="0"/>
        <v>6635000</v>
      </c>
      <c r="J61">
        <f t="shared" si="1"/>
        <v>0</v>
      </c>
      <c r="K61">
        <v>0.379050489826677</v>
      </c>
      <c r="L61" t="s">
        <v>33</v>
      </c>
      <c r="M61" t="s">
        <v>15</v>
      </c>
      <c r="N61" t="s">
        <v>38</v>
      </c>
      <c r="O61" t="s">
        <v>15</v>
      </c>
    </row>
    <row r="62" spans="1:15" x14ac:dyDescent="0.3">
      <c r="A62" t="s">
        <v>19</v>
      </c>
      <c r="B62" t="s">
        <v>39</v>
      </c>
      <c r="C62" t="s">
        <v>25</v>
      </c>
      <c r="D62">
        <v>110100000</v>
      </c>
      <c r="E62">
        <v>117400000</v>
      </c>
      <c r="F62">
        <f t="shared" si="0"/>
        <v>7300000</v>
      </c>
      <c r="J62">
        <f t="shared" si="1"/>
        <v>0</v>
      </c>
      <c r="K62">
        <v>0.87328767123287698</v>
      </c>
      <c r="L62" t="s">
        <v>14</v>
      </c>
      <c r="M62" t="s">
        <v>15</v>
      </c>
      <c r="N62" t="s">
        <v>38</v>
      </c>
      <c r="O62" t="s">
        <v>15</v>
      </c>
    </row>
    <row r="63" spans="1:15" x14ac:dyDescent="0.3">
      <c r="A63" t="s">
        <v>11</v>
      </c>
      <c r="B63" t="s">
        <v>39</v>
      </c>
      <c r="C63" t="s">
        <v>26</v>
      </c>
      <c r="D63">
        <v>79095000</v>
      </c>
      <c r="E63">
        <v>85165000</v>
      </c>
      <c r="F63">
        <f t="shared" si="0"/>
        <v>6070000</v>
      </c>
      <c r="J63">
        <f t="shared" si="1"/>
        <v>0</v>
      </c>
      <c r="K63">
        <v>0.46869851729818801</v>
      </c>
      <c r="L63" t="s">
        <v>14</v>
      </c>
      <c r="M63" t="s">
        <v>15</v>
      </c>
      <c r="N63" t="s">
        <v>38</v>
      </c>
      <c r="O63" t="s">
        <v>15</v>
      </c>
    </row>
    <row r="64" spans="1:15" x14ac:dyDescent="0.3">
      <c r="A64" t="s">
        <v>11</v>
      </c>
      <c r="B64" t="s">
        <v>40</v>
      </c>
      <c r="C64" t="s">
        <v>13</v>
      </c>
      <c r="D64">
        <v>27615000</v>
      </c>
      <c r="E64">
        <v>30020000</v>
      </c>
      <c r="F64">
        <f t="shared" si="0"/>
        <v>2405000</v>
      </c>
      <c r="J64">
        <f t="shared" si="1"/>
        <v>0</v>
      </c>
      <c r="K64">
        <v>0.74428274428274399</v>
      </c>
      <c r="L64" t="s">
        <v>14</v>
      </c>
      <c r="M64" t="s">
        <v>15</v>
      </c>
      <c r="N64" t="s">
        <v>38</v>
      </c>
      <c r="O64" t="s">
        <v>15</v>
      </c>
    </row>
    <row r="65" spans="1:15" x14ac:dyDescent="0.3">
      <c r="A65" t="s">
        <v>19</v>
      </c>
      <c r="B65" t="s">
        <v>40</v>
      </c>
      <c r="C65" t="s">
        <v>17</v>
      </c>
      <c r="D65">
        <v>28025000</v>
      </c>
      <c r="E65">
        <v>31940000</v>
      </c>
      <c r="F65">
        <f t="shared" si="0"/>
        <v>3915000</v>
      </c>
      <c r="J65">
        <f t="shared" si="1"/>
        <v>0</v>
      </c>
      <c r="K65">
        <v>0.61941251596423996</v>
      </c>
      <c r="L65" t="s">
        <v>14</v>
      </c>
      <c r="M65" t="s">
        <v>15</v>
      </c>
      <c r="N65" t="s">
        <v>38</v>
      </c>
      <c r="O65" t="s">
        <v>15</v>
      </c>
    </row>
    <row r="66" spans="1:15" x14ac:dyDescent="0.3">
      <c r="A66" t="s">
        <v>11</v>
      </c>
      <c r="B66" t="s">
        <v>40</v>
      </c>
      <c r="C66" t="s">
        <v>18</v>
      </c>
      <c r="D66">
        <v>21045000</v>
      </c>
      <c r="E66">
        <v>23565000</v>
      </c>
      <c r="F66">
        <f t="shared" si="0"/>
        <v>2520000</v>
      </c>
      <c r="J66">
        <f t="shared" si="1"/>
        <v>0</v>
      </c>
      <c r="K66">
        <v>0.99404761904761896</v>
      </c>
      <c r="L66" t="s">
        <v>14</v>
      </c>
      <c r="M66" t="s">
        <v>15</v>
      </c>
      <c r="N66" t="s">
        <v>38</v>
      </c>
      <c r="O66" t="s">
        <v>15</v>
      </c>
    </row>
    <row r="67" spans="1:15" x14ac:dyDescent="0.3">
      <c r="A67" t="s">
        <v>11</v>
      </c>
      <c r="B67" t="s">
        <v>40</v>
      </c>
      <c r="C67" t="s">
        <v>20</v>
      </c>
      <c r="D67">
        <v>29360000</v>
      </c>
      <c r="E67">
        <v>31890000</v>
      </c>
      <c r="F67">
        <f t="shared" ref="F67:F130" si="2">E67-D67</f>
        <v>2530000</v>
      </c>
      <c r="J67">
        <f t="shared" si="1"/>
        <v>0</v>
      </c>
      <c r="K67">
        <v>0.98814229249011898</v>
      </c>
      <c r="L67" t="s">
        <v>14</v>
      </c>
      <c r="M67" t="s">
        <v>15</v>
      </c>
      <c r="N67" t="s">
        <v>38</v>
      </c>
      <c r="O67" t="s">
        <v>15</v>
      </c>
    </row>
    <row r="68" spans="1:15" x14ac:dyDescent="0.3">
      <c r="A68" t="s">
        <v>19</v>
      </c>
      <c r="B68" t="s">
        <v>40</v>
      </c>
      <c r="C68" t="s">
        <v>21</v>
      </c>
      <c r="D68">
        <v>36795000</v>
      </c>
      <c r="E68">
        <v>39565000</v>
      </c>
      <c r="F68">
        <f t="shared" si="2"/>
        <v>2770000</v>
      </c>
      <c r="J68">
        <f t="shared" si="1"/>
        <v>0</v>
      </c>
      <c r="K68">
        <v>0.88808664259927805</v>
      </c>
      <c r="L68" t="s">
        <v>14</v>
      </c>
      <c r="M68" t="s">
        <v>15</v>
      </c>
      <c r="N68" t="s">
        <v>38</v>
      </c>
      <c r="O68" t="s">
        <v>15</v>
      </c>
    </row>
    <row r="69" spans="1:15" x14ac:dyDescent="0.3">
      <c r="A69" t="s">
        <v>19</v>
      </c>
      <c r="B69" t="s">
        <v>40</v>
      </c>
      <c r="C69" t="s">
        <v>24</v>
      </c>
      <c r="D69">
        <v>24050000</v>
      </c>
      <c r="E69">
        <v>25950000</v>
      </c>
      <c r="F69">
        <f t="shared" si="2"/>
        <v>1900000</v>
      </c>
      <c r="J69">
        <f t="shared" si="1"/>
        <v>0</v>
      </c>
      <c r="K69">
        <v>0.202631578947368</v>
      </c>
      <c r="L69" t="s">
        <v>14</v>
      </c>
      <c r="M69" t="s">
        <v>15</v>
      </c>
      <c r="N69" t="s">
        <v>38</v>
      </c>
      <c r="O69" t="s">
        <v>15</v>
      </c>
    </row>
    <row r="70" spans="1:15" x14ac:dyDescent="0.3">
      <c r="A70" t="s">
        <v>11</v>
      </c>
      <c r="B70" t="s">
        <v>40</v>
      </c>
      <c r="C70" t="s">
        <v>25</v>
      </c>
      <c r="D70">
        <v>23085000</v>
      </c>
      <c r="E70">
        <v>25615000</v>
      </c>
      <c r="F70">
        <f t="shared" si="2"/>
        <v>2530000</v>
      </c>
      <c r="J70">
        <f t="shared" si="1"/>
        <v>0</v>
      </c>
      <c r="K70">
        <v>0.73122529644268797</v>
      </c>
      <c r="L70" t="s">
        <v>14</v>
      </c>
      <c r="M70" t="s">
        <v>15</v>
      </c>
      <c r="N70" t="s">
        <v>38</v>
      </c>
      <c r="O70" t="s">
        <v>15</v>
      </c>
    </row>
    <row r="71" spans="1:15" x14ac:dyDescent="0.3">
      <c r="A71" t="s">
        <v>19</v>
      </c>
      <c r="B71" t="s">
        <v>40</v>
      </c>
      <c r="C71" t="s">
        <v>26</v>
      </c>
      <c r="D71">
        <v>31820000</v>
      </c>
      <c r="E71">
        <v>34115000</v>
      </c>
      <c r="F71">
        <f t="shared" si="2"/>
        <v>2295000</v>
      </c>
      <c r="J71">
        <f t="shared" si="1"/>
        <v>0</v>
      </c>
      <c r="K71">
        <v>0.93899782135076204</v>
      </c>
      <c r="L71" t="s">
        <v>14</v>
      </c>
      <c r="M71" t="s">
        <v>15</v>
      </c>
      <c r="N71" t="s">
        <v>38</v>
      </c>
      <c r="O71" t="s">
        <v>15</v>
      </c>
    </row>
    <row r="72" spans="1:15" x14ac:dyDescent="0.3">
      <c r="A72" t="s">
        <v>11</v>
      </c>
      <c r="B72" t="s">
        <v>41</v>
      </c>
      <c r="C72" t="s">
        <v>13</v>
      </c>
      <c r="D72">
        <v>19200000</v>
      </c>
      <c r="E72">
        <v>21495000</v>
      </c>
      <c r="F72">
        <f t="shared" si="2"/>
        <v>2295000</v>
      </c>
      <c r="J72">
        <f t="shared" si="1"/>
        <v>0</v>
      </c>
      <c r="K72">
        <v>0.986928104575163</v>
      </c>
      <c r="L72" t="s">
        <v>14</v>
      </c>
      <c r="M72" t="s">
        <v>15</v>
      </c>
      <c r="N72" t="s">
        <v>16</v>
      </c>
      <c r="O72" t="s">
        <v>15</v>
      </c>
    </row>
    <row r="73" spans="1:15" x14ac:dyDescent="0.3">
      <c r="A73" t="s">
        <v>11</v>
      </c>
      <c r="B73" t="s">
        <v>41</v>
      </c>
      <c r="C73" t="s">
        <v>17</v>
      </c>
      <c r="D73">
        <v>9440000</v>
      </c>
      <c r="E73">
        <v>11110000</v>
      </c>
      <c r="F73">
        <f t="shared" si="2"/>
        <v>1670000</v>
      </c>
      <c r="J73">
        <f t="shared" si="1"/>
        <v>0</v>
      </c>
      <c r="K73">
        <v>0.87125748502994005</v>
      </c>
      <c r="L73" t="s">
        <v>14</v>
      </c>
      <c r="M73" t="s">
        <v>15</v>
      </c>
      <c r="N73" t="s">
        <v>16</v>
      </c>
      <c r="O73" t="s">
        <v>15</v>
      </c>
    </row>
    <row r="74" spans="1:15" x14ac:dyDescent="0.3">
      <c r="A74" t="s">
        <v>11</v>
      </c>
      <c r="B74" t="s">
        <v>41</v>
      </c>
      <c r="C74" t="s">
        <v>18</v>
      </c>
      <c r="D74">
        <v>16425000</v>
      </c>
      <c r="E74">
        <v>18495000</v>
      </c>
      <c r="F74">
        <f t="shared" si="2"/>
        <v>2070000</v>
      </c>
      <c r="J74">
        <f t="shared" si="1"/>
        <v>0</v>
      </c>
      <c r="K74">
        <v>0.852657004830918</v>
      </c>
      <c r="L74" t="s">
        <v>14</v>
      </c>
      <c r="M74" t="s">
        <v>15</v>
      </c>
      <c r="N74" t="s">
        <v>16</v>
      </c>
      <c r="O74" t="s">
        <v>15</v>
      </c>
    </row>
    <row r="75" spans="1:15" x14ac:dyDescent="0.3">
      <c r="A75" t="s">
        <v>11</v>
      </c>
      <c r="B75" t="s">
        <v>41</v>
      </c>
      <c r="C75" t="s">
        <v>20</v>
      </c>
      <c r="D75">
        <v>8095000</v>
      </c>
      <c r="E75">
        <v>9810000</v>
      </c>
      <c r="F75">
        <f t="shared" si="2"/>
        <v>1715000</v>
      </c>
      <c r="J75">
        <f t="shared" si="1"/>
        <v>0</v>
      </c>
      <c r="K75">
        <v>0.94169096209912495</v>
      </c>
      <c r="L75" t="s">
        <v>14</v>
      </c>
      <c r="M75" t="s">
        <v>15</v>
      </c>
      <c r="N75" t="s">
        <v>16</v>
      </c>
      <c r="O75" t="s">
        <v>15</v>
      </c>
    </row>
    <row r="76" spans="1:15" x14ac:dyDescent="0.3">
      <c r="A76" t="s">
        <v>11</v>
      </c>
      <c r="B76" t="s">
        <v>41</v>
      </c>
      <c r="C76" t="s">
        <v>21</v>
      </c>
      <c r="D76">
        <v>8175000</v>
      </c>
      <c r="E76">
        <v>10865000</v>
      </c>
      <c r="F76">
        <f t="shared" si="2"/>
        <v>2690000</v>
      </c>
      <c r="J76">
        <f t="shared" si="1"/>
        <v>0</v>
      </c>
      <c r="K76">
        <v>1</v>
      </c>
      <c r="L76" t="s">
        <v>14</v>
      </c>
      <c r="M76" t="s">
        <v>15</v>
      </c>
      <c r="N76" t="s">
        <v>16</v>
      </c>
      <c r="O76" t="s">
        <v>15</v>
      </c>
    </row>
    <row r="77" spans="1:15" x14ac:dyDescent="0.3">
      <c r="A77" t="s">
        <v>11</v>
      </c>
      <c r="B77" t="s">
        <v>41</v>
      </c>
      <c r="C77" t="s">
        <v>24</v>
      </c>
      <c r="D77">
        <v>15145000</v>
      </c>
      <c r="E77">
        <v>17080000</v>
      </c>
      <c r="F77">
        <f t="shared" si="2"/>
        <v>1935000</v>
      </c>
      <c r="J77">
        <f t="shared" si="1"/>
        <v>0</v>
      </c>
      <c r="K77">
        <v>0.94315245478036203</v>
      </c>
      <c r="L77" t="s">
        <v>14</v>
      </c>
      <c r="M77" t="s">
        <v>15</v>
      </c>
      <c r="N77" t="s">
        <v>16</v>
      </c>
      <c r="O77" t="s">
        <v>15</v>
      </c>
    </row>
    <row r="78" spans="1:15" x14ac:dyDescent="0.3">
      <c r="A78" t="s">
        <v>11</v>
      </c>
      <c r="B78" t="s">
        <v>41</v>
      </c>
      <c r="C78" t="s">
        <v>25</v>
      </c>
      <c r="D78">
        <v>19475000</v>
      </c>
      <c r="E78">
        <v>21840000</v>
      </c>
      <c r="F78">
        <f t="shared" si="2"/>
        <v>2365000</v>
      </c>
      <c r="J78">
        <f t="shared" si="1"/>
        <v>0</v>
      </c>
      <c r="K78">
        <v>0.94291754756871005</v>
      </c>
      <c r="L78" t="s">
        <v>14</v>
      </c>
      <c r="M78" t="s">
        <v>15</v>
      </c>
      <c r="N78" t="s">
        <v>16</v>
      </c>
      <c r="O78" t="s">
        <v>15</v>
      </c>
    </row>
    <row r="79" spans="1:15" x14ac:dyDescent="0.3">
      <c r="A79" t="s">
        <v>11</v>
      </c>
      <c r="B79" t="s">
        <v>41</v>
      </c>
      <c r="C79" t="s">
        <v>26</v>
      </c>
      <c r="D79">
        <v>8145000</v>
      </c>
      <c r="E79">
        <v>10320000</v>
      </c>
      <c r="F79">
        <f t="shared" si="2"/>
        <v>2175000</v>
      </c>
      <c r="J79">
        <f t="shared" si="1"/>
        <v>0</v>
      </c>
      <c r="K79">
        <v>0.87356321839080497</v>
      </c>
      <c r="L79" t="s">
        <v>14</v>
      </c>
      <c r="M79" t="s">
        <v>15</v>
      </c>
      <c r="N79" t="s">
        <v>16</v>
      </c>
      <c r="O79" t="s">
        <v>15</v>
      </c>
    </row>
    <row r="80" spans="1:15" x14ac:dyDescent="0.3">
      <c r="A80" t="s">
        <v>11</v>
      </c>
      <c r="B80" t="s">
        <v>42</v>
      </c>
      <c r="C80" t="s">
        <v>13</v>
      </c>
      <c r="D80">
        <v>5235000</v>
      </c>
      <c r="E80">
        <v>8650000</v>
      </c>
      <c r="F80">
        <f t="shared" si="2"/>
        <v>3415000</v>
      </c>
      <c r="J80">
        <f t="shared" si="1"/>
        <v>0</v>
      </c>
      <c r="K80">
        <v>5.2708638360175697E-2</v>
      </c>
      <c r="L80" t="s">
        <v>14</v>
      </c>
      <c r="M80" t="s">
        <v>15</v>
      </c>
      <c r="N80" t="s">
        <v>35</v>
      </c>
      <c r="O80" t="s">
        <v>15</v>
      </c>
    </row>
    <row r="81" spans="1:15" x14ac:dyDescent="0.3">
      <c r="A81" t="s">
        <v>11</v>
      </c>
      <c r="B81" t="s">
        <v>42</v>
      </c>
      <c r="C81" t="s">
        <v>23</v>
      </c>
      <c r="D81">
        <v>9300000</v>
      </c>
      <c r="E81">
        <v>11050000</v>
      </c>
      <c r="F81">
        <f t="shared" si="2"/>
        <v>1750000</v>
      </c>
      <c r="J81">
        <f t="shared" si="1"/>
        <v>0</v>
      </c>
      <c r="K81">
        <v>0.89142857142857101</v>
      </c>
      <c r="L81" t="s">
        <v>14</v>
      </c>
      <c r="M81" t="s">
        <v>15</v>
      </c>
      <c r="N81" t="s">
        <v>35</v>
      </c>
      <c r="O81" t="s">
        <v>15</v>
      </c>
    </row>
    <row r="82" spans="1:15" x14ac:dyDescent="0.3">
      <c r="A82" t="s">
        <v>11</v>
      </c>
      <c r="B82" t="s">
        <v>42</v>
      </c>
      <c r="C82" t="s">
        <v>43</v>
      </c>
      <c r="D82">
        <v>25900000</v>
      </c>
      <c r="E82">
        <v>28380000</v>
      </c>
      <c r="F82">
        <f t="shared" si="2"/>
        <v>2480000</v>
      </c>
      <c r="J82">
        <f t="shared" si="1"/>
        <v>0</v>
      </c>
      <c r="K82">
        <v>0.90120967741935498</v>
      </c>
      <c r="L82" t="s">
        <v>14</v>
      </c>
      <c r="M82" t="s">
        <v>15</v>
      </c>
      <c r="N82" t="s">
        <v>35</v>
      </c>
      <c r="O82" t="s">
        <v>15</v>
      </c>
    </row>
    <row r="83" spans="1:15" x14ac:dyDescent="0.3">
      <c r="A83" t="s">
        <v>11</v>
      </c>
      <c r="B83" t="s">
        <v>42</v>
      </c>
      <c r="C83" t="s">
        <v>44</v>
      </c>
      <c r="D83">
        <v>7325000</v>
      </c>
      <c r="E83">
        <v>9080000</v>
      </c>
      <c r="F83">
        <f t="shared" si="2"/>
        <v>1755000</v>
      </c>
      <c r="J83">
        <f t="shared" si="1"/>
        <v>0</v>
      </c>
      <c r="K83">
        <v>0.50997150997150997</v>
      </c>
      <c r="L83" t="s">
        <v>14</v>
      </c>
      <c r="M83" t="s">
        <v>15</v>
      </c>
      <c r="N83" t="s">
        <v>35</v>
      </c>
      <c r="O83" t="s">
        <v>15</v>
      </c>
    </row>
    <row r="84" spans="1:15" x14ac:dyDescent="0.3">
      <c r="A84" t="s">
        <v>11</v>
      </c>
      <c r="B84" t="s">
        <v>42</v>
      </c>
      <c r="C84" t="s">
        <v>45</v>
      </c>
      <c r="D84">
        <v>21500000</v>
      </c>
      <c r="E84">
        <v>23905000</v>
      </c>
      <c r="F84">
        <f t="shared" si="2"/>
        <v>2405000</v>
      </c>
      <c r="J84">
        <f t="shared" si="1"/>
        <v>0</v>
      </c>
      <c r="K84">
        <v>0.21621621621621601</v>
      </c>
      <c r="L84" t="s">
        <v>14</v>
      </c>
      <c r="M84" t="s">
        <v>15</v>
      </c>
      <c r="N84" t="s">
        <v>35</v>
      </c>
      <c r="O84" t="s">
        <v>15</v>
      </c>
    </row>
    <row r="85" spans="1:15" x14ac:dyDescent="0.3">
      <c r="A85" t="s">
        <v>19</v>
      </c>
      <c r="B85" t="s">
        <v>42</v>
      </c>
      <c r="C85" t="s">
        <v>46</v>
      </c>
      <c r="D85">
        <v>14905000</v>
      </c>
      <c r="E85">
        <v>16940000</v>
      </c>
      <c r="F85">
        <f t="shared" si="2"/>
        <v>2035000</v>
      </c>
      <c r="J85">
        <f t="shared" si="1"/>
        <v>0</v>
      </c>
      <c r="K85">
        <v>0.307125307125307</v>
      </c>
      <c r="L85" t="s">
        <v>14</v>
      </c>
      <c r="M85" t="s">
        <v>15</v>
      </c>
      <c r="N85" t="s">
        <v>35</v>
      </c>
      <c r="O85" t="s">
        <v>15</v>
      </c>
    </row>
    <row r="86" spans="1:15" x14ac:dyDescent="0.3">
      <c r="A86" t="s">
        <v>11</v>
      </c>
      <c r="B86" t="s">
        <v>42</v>
      </c>
      <c r="C86" t="s">
        <v>47</v>
      </c>
      <c r="D86">
        <v>51395000</v>
      </c>
      <c r="E86">
        <v>53650000</v>
      </c>
      <c r="F86">
        <f t="shared" si="2"/>
        <v>2255000</v>
      </c>
      <c r="J86">
        <f t="shared" ref="J86:J149" si="3">I86-H86</f>
        <v>0</v>
      </c>
      <c r="K86">
        <v>0.62527716186252802</v>
      </c>
      <c r="L86" t="s">
        <v>14</v>
      </c>
      <c r="M86" t="s">
        <v>15</v>
      </c>
      <c r="N86" t="s">
        <v>35</v>
      </c>
      <c r="O86" t="s">
        <v>15</v>
      </c>
    </row>
    <row r="87" spans="1:15" x14ac:dyDescent="0.3">
      <c r="A87" t="s">
        <v>32</v>
      </c>
      <c r="B87" t="s">
        <v>42</v>
      </c>
      <c r="C87" t="s">
        <v>48</v>
      </c>
      <c r="D87">
        <v>28520000</v>
      </c>
      <c r="E87">
        <v>29040000</v>
      </c>
      <c r="F87">
        <f t="shared" si="2"/>
        <v>520000</v>
      </c>
      <c r="J87">
        <f t="shared" si="3"/>
        <v>0</v>
      </c>
      <c r="K87">
        <v>0.96153846153846201</v>
      </c>
      <c r="L87" t="s">
        <v>33</v>
      </c>
      <c r="M87" t="s">
        <v>15</v>
      </c>
      <c r="N87" t="s">
        <v>35</v>
      </c>
      <c r="O87" t="s">
        <v>15</v>
      </c>
    </row>
    <row r="88" spans="1:15" x14ac:dyDescent="0.3">
      <c r="A88" t="s">
        <v>11</v>
      </c>
      <c r="B88" t="s">
        <v>42</v>
      </c>
      <c r="C88" t="s">
        <v>49</v>
      </c>
      <c r="D88">
        <v>18475000</v>
      </c>
      <c r="E88">
        <v>19235000</v>
      </c>
      <c r="F88">
        <f t="shared" si="2"/>
        <v>760000</v>
      </c>
      <c r="J88">
        <f t="shared" si="3"/>
        <v>0</v>
      </c>
      <c r="K88">
        <v>0.53289473684210498</v>
      </c>
      <c r="L88" t="s">
        <v>14</v>
      </c>
      <c r="M88" t="s">
        <v>15</v>
      </c>
      <c r="N88" t="s">
        <v>35</v>
      </c>
      <c r="O88" t="s">
        <v>15</v>
      </c>
    </row>
    <row r="89" spans="1:15" x14ac:dyDescent="0.3">
      <c r="A89" t="s">
        <v>11</v>
      </c>
      <c r="B89" t="s">
        <v>42</v>
      </c>
      <c r="C89" t="s">
        <v>17</v>
      </c>
      <c r="D89">
        <v>1250000</v>
      </c>
      <c r="E89">
        <v>3295000</v>
      </c>
      <c r="F89">
        <f t="shared" si="2"/>
        <v>2045000</v>
      </c>
      <c r="J89">
        <f t="shared" si="3"/>
        <v>0</v>
      </c>
      <c r="K89">
        <v>0.26161369193153999</v>
      </c>
      <c r="L89" t="s">
        <v>14</v>
      </c>
      <c r="M89" t="s">
        <v>15</v>
      </c>
      <c r="N89" t="s">
        <v>35</v>
      </c>
      <c r="O89" t="s">
        <v>15</v>
      </c>
    </row>
    <row r="90" spans="1:15" x14ac:dyDescent="0.3">
      <c r="A90" t="s">
        <v>19</v>
      </c>
      <c r="B90" t="s">
        <v>42</v>
      </c>
      <c r="C90" t="s">
        <v>18</v>
      </c>
      <c r="D90">
        <v>16270000</v>
      </c>
      <c r="E90">
        <v>17515000</v>
      </c>
      <c r="F90">
        <f t="shared" si="2"/>
        <v>1245000</v>
      </c>
      <c r="J90">
        <f t="shared" si="3"/>
        <v>0</v>
      </c>
      <c r="K90">
        <v>0.98795180722891596</v>
      </c>
      <c r="L90" t="s">
        <v>14</v>
      </c>
      <c r="M90" t="s">
        <v>15</v>
      </c>
      <c r="N90" t="s">
        <v>35</v>
      </c>
      <c r="O90" t="s">
        <v>15</v>
      </c>
    </row>
    <row r="91" spans="1:15" x14ac:dyDescent="0.3">
      <c r="A91" t="s">
        <v>11</v>
      </c>
      <c r="B91" t="s">
        <v>42</v>
      </c>
      <c r="C91" t="s">
        <v>20</v>
      </c>
      <c r="D91">
        <v>17740000</v>
      </c>
      <c r="E91">
        <v>20210000</v>
      </c>
      <c r="F91">
        <f t="shared" si="2"/>
        <v>2470000</v>
      </c>
      <c r="J91">
        <f t="shared" si="3"/>
        <v>0</v>
      </c>
      <c r="K91">
        <v>0.119433198380567</v>
      </c>
      <c r="L91" t="s">
        <v>14</v>
      </c>
      <c r="M91" t="s">
        <v>15</v>
      </c>
      <c r="N91" t="s">
        <v>35</v>
      </c>
      <c r="O91" t="s">
        <v>15</v>
      </c>
    </row>
    <row r="92" spans="1:15" x14ac:dyDescent="0.3">
      <c r="A92" t="s">
        <v>11</v>
      </c>
      <c r="B92" t="s">
        <v>42</v>
      </c>
      <c r="C92" t="s">
        <v>21</v>
      </c>
      <c r="D92">
        <v>13525000</v>
      </c>
      <c r="E92">
        <v>15150000</v>
      </c>
      <c r="F92">
        <f t="shared" si="2"/>
        <v>1625000</v>
      </c>
      <c r="J92">
        <f t="shared" si="3"/>
        <v>0</v>
      </c>
      <c r="K92">
        <v>0.27692307692307699</v>
      </c>
      <c r="L92" t="s">
        <v>14</v>
      </c>
      <c r="M92" t="s">
        <v>15</v>
      </c>
      <c r="N92" t="s">
        <v>35</v>
      </c>
      <c r="O92" t="s">
        <v>15</v>
      </c>
    </row>
    <row r="93" spans="1:15" x14ac:dyDescent="0.3">
      <c r="A93" t="s">
        <v>11</v>
      </c>
      <c r="B93" t="s">
        <v>42</v>
      </c>
      <c r="C93" t="s">
        <v>24</v>
      </c>
      <c r="D93">
        <v>12735000</v>
      </c>
      <c r="E93">
        <v>13525000</v>
      </c>
      <c r="F93">
        <f t="shared" si="2"/>
        <v>790000</v>
      </c>
      <c r="J93">
        <f t="shared" si="3"/>
        <v>0</v>
      </c>
      <c r="K93">
        <v>0.329113924050633</v>
      </c>
      <c r="L93" t="s">
        <v>14</v>
      </c>
      <c r="M93" t="s">
        <v>15</v>
      </c>
      <c r="N93" t="s">
        <v>35</v>
      </c>
      <c r="O93" t="s">
        <v>15</v>
      </c>
    </row>
    <row r="94" spans="1:15" x14ac:dyDescent="0.3">
      <c r="A94" t="s">
        <v>11</v>
      </c>
      <c r="B94" t="s">
        <v>42</v>
      </c>
      <c r="C94" t="s">
        <v>25</v>
      </c>
      <c r="D94">
        <v>13445000</v>
      </c>
      <c r="E94">
        <v>15330000</v>
      </c>
      <c r="F94">
        <f t="shared" si="2"/>
        <v>1885000</v>
      </c>
      <c r="J94">
        <f t="shared" si="3"/>
        <v>0</v>
      </c>
      <c r="K94">
        <v>0.81697612732095504</v>
      </c>
      <c r="L94" t="s">
        <v>14</v>
      </c>
      <c r="M94" t="s">
        <v>15</v>
      </c>
      <c r="N94" t="s">
        <v>35</v>
      </c>
      <c r="O94" t="s">
        <v>15</v>
      </c>
    </row>
    <row r="95" spans="1:15" x14ac:dyDescent="0.3">
      <c r="A95" t="s">
        <v>32</v>
      </c>
      <c r="B95" t="s">
        <v>42</v>
      </c>
      <c r="C95" t="s">
        <v>26</v>
      </c>
      <c r="D95">
        <v>17040000</v>
      </c>
      <c r="E95">
        <v>17740000</v>
      </c>
      <c r="F95">
        <f t="shared" si="2"/>
        <v>700000</v>
      </c>
      <c r="J95">
        <f t="shared" si="3"/>
        <v>0</v>
      </c>
      <c r="K95">
        <v>0.89285714285714302</v>
      </c>
      <c r="L95" t="s">
        <v>33</v>
      </c>
      <c r="M95" t="s">
        <v>15</v>
      </c>
      <c r="N95" t="s">
        <v>35</v>
      </c>
      <c r="O95" t="s">
        <v>15</v>
      </c>
    </row>
    <row r="96" spans="1:15" x14ac:dyDescent="0.3">
      <c r="A96" t="s">
        <v>19</v>
      </c>
      <c r="B96" t="s">
        <v>42</v>
      </c>
      <c r="C96" t="s">
        <v>27</v>
      </c>
      <c r="D96">
        <v>24500000</v>
      </c>
      <c r="E96">
        <v>26860000</v>
      </c>
      <c r="F96">
        <f t="shared" si="2"/>
        <v>2360000</v>
      </c>
      <c r="J96">
        <f t="shared" si="3"/>
        <v>0</v>
      </c>
      <c r="K96">
        <v>0.21610169491525399</v>
      </c>
      <c r="L96" t="s">
        <v>14</v>
      </c>
      <c r="M96" t="s">
        <v>15</v>
      </c>
      <c r="N96" t="s">
        <v>35</v>
      </c>
      <c r="O96" t="s">
        <v>15</v>
      </c>
    </row>
    <row r="97" spans="1:15" x14ac:dyDescent="0.3">
      <c r="A97" t="s">
        <v>11</v>
      </c>
      <c r="B97" t="s">
        <v>50</v>
      </c>
      <c r="C97" t="s">
        <v>13</v>
      </c>
      <c r="D97">
        <v>43945000</v>
      </c>
      <c r="E97">
        <v>46400000</v>
      </c>
      <c r="F97">
        <f t="shared" si="2"/>
        <v>2455000</v>
      </c>
      <c r="J97">
        <f t="shared" si="3"/>
        <v>0</v>
      </c>
      <c r="K97">
        <v>0.86150712830957199</v>
      </c>
      <c r="L97" t="s">
        <v>14</v>
      </c>
      <c r="M97" t="s">
        <v>30</v>
      </c>
      <c r="N97" t="s">
        <v>38</v>
      </c>
      <c r="O97" t="s">
        <v>31</v>
      </c>
    </row>
    <row r="98" spans="1:15" x14ac:dyDescent="0.3">
      <c r="A98" t="s">
        <v>11</v>
      </c>
      <c r="B98" t="s">
        <v>50</v>
      </c>
      <c r="C98" t="s">
        <v>17</v>
      </c>
      <c r="D98">
        <v>29605000</v>
      </c>
      <c r="E98">
        <v>32325000</v>
      </c>
      <c r="F98">
        <f t="shared" si="2"/>
        <v>2720000</v>
      </c>
      <c r="J98">
        <f t="shared" si="3"/>
        <v>0</v>
      </c>
      <c r="K98">
        <v>0.93933823529411797</v>
      </c>
      <c r="L98" t="s">
        <v>14</v>
      </c>
      <c r="M98" t="s">
        <v>30</v>
      </c>
      <c r="N98" t="s">
        <v>38</v>
      </c>
      <c r="O98" t="s">
        <v>31</v>
      </c>
    </row>
    <row r="99" spans="1:15" x14ac:dyDescent="0.3">
      <c r="A99" t="s">
        <v>11</v>
      </c>
      <c r="B99" t="s">
        <v>50</v>
      </c>
      <c r="C99" t="s">
        <v>18</v>
      </c>
      <c r="D99">
        <v>46040000</v>
      </c>
      <c r="E99">
        <v>51845000</v>
      </c>
      <c r="F99">
        <f t="shared" si="2"/>
        <v>5805000</v>
      </c>
      <c r="J99">
        <f t="shared" si="3"/>
        <v>0</v>
      </c>
      <c r="K99">
        <v>0.39793281653746798</v>
      </c>
      <c r="L99" t="s">
        <v>14</v>
      </c>
      <c r="M99" t="s">
        <v>30</v>
      </c>
      <c r="N99" t="s">
        <v>38</v>
      </c>
      <c r="O99" t="s">
        <v>31</v>
      </c>
    </row>
    <row r="100" spans="1:15" x14ac:dyDescent="0.3">
      <c r="A100" t="s">
        <v>11</v>
      </c>
      <c r="B100" t="s">
        <v>50</v>
      </c>
      <c r="C100" t="s">
        <v>20</v>
      </c>
      <c r="D100">
        <v>1455000</v>
      </c>
      <c r="E100">
        <v>3990000</v>
      </c>
      <c r="F100">
        <f t="shared" si="2"/>
        <v>2535000</v>
      </c>
      <c r="J100">
        <f t="shared" si="3"/>
        <v>0</v>
      </c>
      <c r="K100">
        <v>0.98619329388560195</v>
      </c>
      <c r="L100" t="s">
        <v>14</v>
      </c>
      <c r="M100" t="s">
        <v>30</v>
      </c>
      <c r="N100" t="s">
        <v>38</v>
      </c>
      <c r="O100" t="s">
        <v>31</v>
      </c>
    </row>
    <row r="101" spans="1:15" x14ac:dyDescent="0.3">
      <c r="A101" t="s">
        <v>19</v>
      </c>
      <c r="B101" t="s">
        <v>50</v>
      </c>
      <c r="C101" t="s">
        <v>21</v>
      </c>
      <c r="D101">
        <v>1250000</v>
      </c>
      <c r="E101">
        <v>4530000</v>
      </c>
      <c r="F101">
        <f t="shared" si="2"/>
        <v>3280000</v>
      </c>
      <c r="J101">
        <f t="shared" si="3"/>
        <v>0</v>
      </c>
      <c r="K101">
        <v>0.75457317073170704</v>
      </c>
      <c r="L101" t="s">
        <v>14</v>
      </c>
      <c r="M101" t="s">
        <v>30</v>
      </c>
      <c r="N101" t="s">
        <v>38</v>
      </c>
      <c r="O101" t="s">
        <v>31</v>
      </c>
    </row>
    <row r="102" spans="1:15" x14ac:dyDescent="0.3">
      <c r="A102" t="s">
        <v>11</v>
      </c>
      <c r="B102" t="s">
        <v>50</v>
      </c>
      <c r="C102" t="s">
        <v>24</v>
      </c>
      <c r="D102">
        <v>9815000</v>
      </c>
      <c r="E102">
        <v>12395000</v>
      </c>
      <c r="F102">
        <f t="shared" si="2"/>
        <v>2580000</v>
      </c>
      <c r="J102">
        <f t="shared" si="3"/>
        <v>0</v>
      </c>
      <c r="K102">
        <v>0.96124031007751898</v>
      </c>
      <c r="L102" t="s">
        <v>14</v>
      </c>
      <c r="M102" t="s">
        <v>30</v>
      </c>
      <c r="N102" t="s">
        <v>38</v>
      </c>
      <c r="O102" t="s">
        <v>31</v>
      </c>
    </row>
    <row r="103" spans="1:15" x14ac:dyDescent="0.3">
      <c r="A103" t="s">
        <v>11</v>
      </c>
      <c r="B103" t="s">
        <v>50</v>
      </c>
      <c r="C103" t="s">
        <v>25</v>
      </c>
      <c r="D103">
        <v>40700000</v>
      </c>
      <c r="E103">
        <v>46630000</v>
      </c>
      <c r="F103">
        <f t="shared" si="2"/>
        <v>5930000</v>
      </c>
      <c r="J103">
        <f t="shared" si="3"/>
        <v>0</v>
      </c>
      <c r="K103">
        <v>0.41568296795952803</v>
      </c>
      <c r="L103" t="s">
        <v>14</v>
      </c>
      <c r="M103" t="s">
        <v>30</v>
      </c>
      <c r="N103" t="s">
        <v>38</v>
      </c>
      <c r="O103" t="s">
        <v>31</v>
      </c>
    </row>
    <row r="104" spans="1:15" x14ac:dyDescent="0.3">
      <c r="A104" t="s">
        <v>11</v>
      </c>
      <c r="B104" t="s">
        <v>51</v>
      </c>
      <c r="C104" t="s">
        <v>13</v>
      </c>
      <c r="D104">
        <v>5655000</v>
      </c>
      <c r="E104">
        <v>7840000</v>
      </c>
      <c r="F104">
        <f t="shared" si="2"/>
        <v>2185000</v>
      </c>
      <c r="J104">
        <f t="shared" si="3"/>
        <v>0</v>
      </c>
      <c r="K104">
        <v>0.92448512585812403</v>
      </c>
      <c r="L104" t="s">
        <v>14</v>
      </c>
      <c r="M104" t="s">
        <v>15</v>
      </c>
      <c r="N104" t="s">
        <v>38</v>
      </c>
      <c r="O104" t="s">
        <v>15</v>
      </c>
    </row>
    <row r="105" spans="1:15" x14ac:dyDescent="0.3">
      <c r="A105" t="s">
        <v>11</v>
      </c>
      <c r="B105" t="s">
        <v>51</v>
      </c>
      <c r="C105" t="s">
        <v>23</v>
      </c>
      <c r="D105">
        <v>7010000</v>
      </c>
      <c r="E105">
        <v>9300000</v>
      </c>
      <c r="F105">
        <f t="shared" si="2"/>
        <v>2290000</v>
      </c>
      <c r="J105">
        <f t="shared" si="3"/>
        <v>0</v>
      </c>
      <c r="K105">
        <v>0.94541484716157198</v>
      </c>
      <c r="L105" t="s">
        <v>14</v>
      </c>
      <c r="M105" t="s">
        <v>15</v>
      </c>
      <c r="N105" t="s">
        <v>38</v>
      </c>
      <c r="O105" t="s">
        <v>15</v>
      </c>
    </row>
    <row r="106" spans="1:15" x14ac:dyDescent="0.3">
      <c r="A106" t="s">
        <v>11</v>
      </c>
      <c r="B106" t="s">
        <v>51</v>
      </c>
      <c r="C106" t="s">
        <v>17</v>
      </c>
      <c r="D106">
        <v>19045000</v>
      </c>
      <c r="E106">
        <v>21530000</v>
      </c>
      <c r="F106">
        <f t="shared" si="2"/>
        <v>2485000</v>
      </c>
      <c r="J106">
        <f t="shared" si="3"/>
        <v>0</v>
      </c>
      <c r="K106">
        <v>0.50503018108651898</v>
      </c>
      <c r="L106" t="s">
        <v>14</v>
      </c>
      <c r="M106" t="s">
        <v>15</v>
      </c>
      <c r="N106" t="s">
        <v>38</v>
      </c>
      <c r="O106" t="s">
        <v>15</v>
      </c>
    </row>
    <row r="107" spans="1:15" x14ac:dyDescent="0.3">
      <c r="A107" t="s">
        <v>11</v>
      </c>
      <c r="B107" t="s">
        <v>51</v>
      </c>
      <c r="C107" t="s">
        <v>18</v>
      </c>
      <c r="D107">
        <v>20285000</v>
      </c>
      <c r="E107">
        <v>23195000</v>
      </c>
      <c r="F107">
        <f t="shared" si="2"/>
        <v>2910000</v>
      </c>
      <c r="J107">
        <f t="shared" si="3"/>
        <v>0</v>
      </c>
      <c r="K107">
        <v>0.96219931271477699</v>
      </c>
      <c r="L107" t="s">
        <v>14</v>
      </c>
      <c r="M107" t="s">
        <v>15</v>
      </c>
      <c r="N107" t="s">
        <v>38</v>
      </c>
      <c r="O107" t="s">
        <v>15</v>
      </c>
    </row>
    <row r="108" spans="1:15" x14ac:dyDescent="0.3">
      <c r="A108" t="s">
        <v>11</v>
      </c>
      <c r="B108" t="s">
        <v>51</v>
      </c>
      <c r="C108" t="s">
        <v>20</v>
      </c>
      <c r="D108">
        <v>12140000</v>
      </c>
      <c r="E108">
        <v>14540000</v>
      </c>
      <c r="F108">
        <f t="shared" si="2"/>
        <v>2400000</v>
      </c>
      <c r="J108">
        <f t="shared" si="3"/>
        <v>0</v>
      </c>
      <c r="K108">
        <v>0.88749999999999996</v>
      </c>
      <c r="L108" t="s">
        <v>14</v>
      </c>
      <c r="M108" t="s">
        <v>15</v>
      </c>
      <c r="N108" t="s">
        <v>38</v>
      </c>
      <c r="O108" t="s">
        <v>15</v>
      </c>
    </row>
    <row r="109" spans="1:15" x14ac:dyDescent="0.3">
      <c r="A109" t="s">
        <v>11</v>
      </c>
      <c r="B109" t="s">
        <v>51</v>
      </c>
      <c r="C109" t="s">
        <v>21</v>
      </c>
      <c r="D109">
        <v>18250000</v>
      </c>
      <c r="E109">
        <v>20615000</v>
      </c>
      <c r="F109">
        <f t="shared" si="2"/>
        <v>2365000</v>
      </c>
      <c r="J109">
        <f t="shared" si="3"/>
        <v>0</v>
      </c>
      <c r="K109">
        <v>0.90063424947145898</v>
      </c>
      <c r="L109" t="s">
        <v>14</v>
      </c>
      <c r="M109" t="s">
        <v>15</v>
      </c>
      <c r="N109" t="s">
        <v>38</v>
      </c>
      <c r="O109" t="s">
        <v>15</v>
      </c>
    </row>
    <row r="110" spans="1:15" x14ac:dyDescent="0.3">
      <c r="A110" t="s">
        <v>11</v>
      </c>
      <c r="B110" t="s">
        <v>51</v>
      </c>
      <c r="C110" t="s">
        <v>24</v>
      </c>
      <c r="D110">
        <v>13015000</v>
      </c>
      <c r="E110">
        <v>15420000</v>
      </c>
      <c r="F110">
        <f t="shared" si="2"/>
        <v>2405000</v>
      </c>
      <c r="J110">
        <f t="shared" si="3"/>
        <v>0</v>
      </c>
      <c r="K110">
        <v>0.71101871101871095</v>
      </c>
      <c r="L110" t="s">
        <v>14</v>
      </c>
      <c r="M110" t="s">
        <v>15</v>
      </c>
      <c r="N110" t="s">
        <v>38</v>
      </c>
      <c r="O110" t="s">
        <v>15</v>
      </c>
    </row>
    <row r="111" spans="1:15" x14ac:dyDescent="0.3">
      <c r="A111" t="s">
        <v>11</v>
      </c>
      <c r="B111" t="s">
        <v>51</v>
      </c>
      <c r="C111" t="s">
        <v>25</v>
      </c>
      <c r="D111">
        <v>21910000</v>
      </c>
      <c r="E111">
        <v>24155000</v>
      </c>
      <c r="F111">
        <f t="shared" si="2"/>
        <v>2245000</v>
      </c>
      <c r="J111">
        <f t="shared" si="3"/>
        <v>0</v>
      </c>
      <c r="K111">
        <v>0.91091314031180404</v>
      </c>
      <c r="L111" t="s">
        <v>14</v>
      </c>
      <c r="M111" t="s">
        <v>15</v>
      </c>
      <c r="N111" t="s">
        <v>38</v>
      </c>
      <c r="O111" t="s">
        <v>15</v>
      </c>
    </row>
    <row r="112" spans="1:15" x14ac:dyDescent="0.3">
      <c r="A112" t="s">
        <v>11</v>
      </c>
      <c r="B112" t="s">
        <v>51</v>
      </c>
      <c r="C112" t="s">
        <v>26</v>
      </c>
      <c r="D112">
        <v>13345000</v>
      </c>
      <c r="E112">
        <v>15745000</v>
      </c>
      <c r="F112">
        <f t="shared" si="2"/>
        <v>2400000</v>
      </c>
      <c r="J112">
        <f t="shared" si="3"/>
        <v>0</v>
      </c>
      <c r="K112">
        <v>0.33541666666666697</v>
      </c>
      <c r="L112" t="s">
        <v>14</v>
      </c>
      <c r="M112" t="s">
        <v>15</v>
      </c>
      <c r="N112" t="s">
        <v>38</v>
      </c>
      <c r="O112" t="s">
        <v>15</v>
      </c>
    </row>
    <row r="113" spans="1:15" x14ac:dyDescent="0.3">
      <c r="A113" t="s">
        <v>11</v>
      </c>
      <c r="B113" t="s">
        <v>51</v>
      </c>
      <c r="C113" t="s">
        <v>27</v>
      </c>
      <c r="D113">
        <v>19055000</v>
      </c>
      <c r="E113">
        <v>21510000</v>
      </c>
      <c r="F113">
        <f t="shared" si="2"/>
        <v>2455000</v>
      </c>
      <c r="J113">
        <f t="shared" si="3"/>
        <v>0</v>
      </c>
      <c r="K113">
        <v>0.94093686354378803</v>
      </c>
      <c r="L113" t="s">
        <v>14</v>
      </c>
      <c r="M113" t="s">
        <v>15</v>
      </c>
      <c r="N113" t="s">
        <v>38</v>
      </c>
      <c r="O113" t="s">
        <v>15</v>
      </c>
    </row>
    <row r="114" spans="1:15" x14ac:dyDescent="0.3">
      <c r="A114" t="s">
        <v>19</v>
      </c>
      <c r="B114" t="s">
        <v>52</v>
      </c>
      <c r="C114" t="s">
        <v>13</v>
      </c>
      <c r="D114">
        <v>20340000</v>
      </c>
      <c r="E114">
        <v>22895000</v>
      </c>
      <c r="F114">
        <f t="shared" si="2"/>
        <v>2555000</v>
      </c>
      <c r="J114">
        <f t="shared" si="3"/>
        <v>0</v>
      </c>
      <c r="K114">
        <v>0.97847358121330696</v>
      </c>
      <c r="L114" t="s">
        <v>14</v>
      </c>
      <c r="M114" t="s">
        <v>15</v>
      </c>
      <c r="N114" t="s">
        <v>35</v>
      </c>
      <c r="O114" t="s">
        <v>15</v>
      </c>
    </row>
    <row r="115" spans="1:15" x14ac:dyDescent="0.3">
      <c r="A115" t="s">
        <v>19</v>
      </c>
      <c r="B115" t="s">
        <v>52</v>
      </c>
      <c r="C115" t="s">
        <v>17</v>
      </c>
      <c r="D115">
        <v>9180000</v>
      </c>
      <c r="E115">
        <v>11580000</v>
      </c>
      <c r="F115">
        <f t="shared" si="2"/>
        <v>2400000</v>
      </c>
      <c r="J115">
        <f t="shared" si="3"/>
        <v>0</v>
      </c>
      <c r="K115">
        <v>0.98958333333333304</v>
      </c>
      <c r="L115" t="s">
        <v>14</v>
      </c>
      <c r="M115" t="s">
        <v>15</v>
      </c>
      <c r="N115" t="s">
        <v>35</v>
      </c>
      <c r="O115" t="s">
        <v>15</v>
      </c>
    </row>
    <row r="116" spans="1:15" x14ac:dyDescent="0.3">
      <c r="A116" t="s">
        <v>11</v>
      </c>
      <c r="B116" t="s">
        <v>52</v>
      </c>
      <c r="C116" t="s">
        <v>18</v>
      </c>
      <c r="D116">
        <v>11105000</v>
      </c>
      <c r="E116">
        <v>13360000</v>
      </c>
      <c r="F116">
        <f t="shared" si="2"/>
        <v>2255000</v>
      </c>
      <c r="J116">
        <f t="shared" si="3"/>
        <v>0</v>
      </c>
      <c r="K116">
        <v>0.96895787139689604</v>
      </c>
      <c r="L116" t="s">
        <v>14</v>
      </c>
      <c r="M116" t="s">
        <v>15</v>
      </c>
      <c r="N116" t="s">
        <v>35</v>
      </c>
      <c r="O116" t="s">
        <v>15</v>
      </c>
    </row>
    <row r="117" spans="1:15" x14ac:dyDescent="0.3">
      <c r="A117" t="s">
        <v>11</v>
      </c>
      <c r="B117" t="s">
        <v>52</v>
      </c>
      <c r="C117" t="s">
        <v>20</v>
      </c>
      <c r="D117">
        <v>19665000</v>
      </c>
      <c r="E117">
        <v>21795000</v>
      </c>
      <c r="F117">
        <f t="shared" si="2"/>
        <v>2130000</v>
      </c>
      <c r="J117">
        <f t="shared" si="3"/>
        <v>0</v>
      </c>
      <c r="K117">
        <v>0.99061032863849796</v>
      </c>
      <c r="L117" t="s">
        <v>14</v>
      </c>
      <c r="M117" t="s">
        <v>15</v>
      </c>
      <c r="N117" t="s">
        <v>35</v>
      </c>
      <c r="O117" t="s">
        <v>15</v>
      </c>
    </row>
    <row r="118" spans="1:15" x14ac:dyDescent="0.3">
      <c r="A118" t="s">
        <v>11</v>
      </c>
      <c r="B118" t="s">
        <v>52</v>
      </c>
      <c r="C118" t="s">
        <v>21</v>
      </c>
      <c r="D118">
        <v>6200000</v>
      </c>
      <c r="E118">
        <v>8225000</v>
      </c>
      <c r="F118">
        <f t="shared" si="2"/>
        <v>2025000</v>
      </c>
      <c r="J118">
        <f t="shared" si="3"/>
        <v>0</v>
      </c>
      <c r="K118">
        <v>0.92592592592592604</v>
      </c>
      <c r="L118" t="s">
        <v>14</v>
      </c>
      <c r="M118" t="s">
        <v>15</v>
      </c>
      <c r="N118" t="s">
        <v>35</v>
      </c>
      <c r="O118" t="s">
        <v>15</v>
      </c>
    </row>
    <row r="119" spans="1:15" x14ac:dyDescent="0.3">
      <c r="A119" t="s">
        <v>11</v>
      </c>
      <c r="B119" t="s">
        <v>52</v>
      </c>
      <c r="C119" t="s">
        <v>24</v>
      </c>
      <c r="D119">
        <v>15125000</v>
      </c>
      <c r="E119">
        <v>17585000</v>
      </c>
      <c r="F119">
        <f t="shared" si="2"/>
        <v>2460000</v>
      </c>
      <c r="J119">
        <f t="shared" si="3"/>
        <v>0</v>
      </c>
      <c r="K119">
        <v>0.86382113821138196</v>
      </c>
      <c r="L119" t="s">
        <v>14</v>
      </c>
      <c r="M119" t="s">
        <v>15</v>
      </c>
      <c r="N119" t="s">
        <v>35</v>
      </c>
      <c r="O119" t="s">
        <v>15</v>
      </c>
    </row>
    <row r="120" spans="1:15" x14ac:dyDescent="0.3">
      <c r="A120" t="s">
        <v>11</v>
      </c>
      <c r="B120" t="s">
        <v>52</v>
      </c>
      <c r="C120" t="s">
        <v>25</v>
      </c>
      <c r="D120">
        <v>3640000</v>
      </c>
      <c r="E120">
        <v>5850000</v>
      </c>
      <c r="F120">
        <f t="shared" si="2"/>
        <v>2210000</v>
      </c>
      <c r="J120">
        <f t="shared" si="3"/>
        <v>0</v>
      </c>
      <c r="K120">
        <v>0.97737556561086003</v>
      </c>
      <c r="L120" t="s">
        <v>14</v>
      </c>
      <c r="M120" t="s">
        <v>15</v>
      </c>
      <c r="N120" t="s">
        <v>35</v>
      </c>
      <c r="O120" t="s">
        <v>15</v>
      </c>
    </row>
    <row r="121" spans="1:15" x14ac:dyDescent="0.3">
      <c r="A121" t="s">
        <v>11</v>
      </c>
      <c r="B121" t="s">
        <v>52</v>
      </c>
      <c r="C121" t="s">
        <v>26</v>
      </c>
      <c r="D121">
        <v>6790000</v>
      </c>
      <c r="E121">
        <v>9065000</v>
      </c>
      <c r="F121">
        <f t="shared" si="2"/>
        <v>2275000</v>
      </c>
      <c r="J121">
        <f t="shared" si="3"/>
        <v>0</v>
      </c>
      <c r="K121">
        <v>0.91868131868131897</v>
      </c>
      <c r="L121" t="s">
        <v>14</v>
      </c>
      <c r="M121" t="s">
        <v>15</v>
      </c>
      <c r="N121" t="s">
        <v>35</v>
      </c>
      <c r="O121" t="s">
        <v>15</v>
      </c>
    </row>
    <row r="122" spans="1:15" x14ac:dyDescent="0.3">
      <c r="A122" t="s">
        <v>11</v>
      </c>
      <c r="B122" t="s">
        <v>53</v>
      </c>
      <c r="C122" t="s">
        <v>13</v>
      </c>
      <c r="D122">
        <v>88010000</v>
      </c>
      <c r="E122">
        <v>93220000</v>
      </c>
      <c r="F122">
        <f t="shared" si="2"/>
        <v>5210000</v>
      </c>
      <c r="J122">
        <f t="shared" si="3"/>
        <v>0</v>
      </c>
      <c r="K122">
        <v>0.44913627639155501</v>
      </c>
      <c r="L122" t="s">
        <v>14</v>
      </c>
      <c r="M122" t="s">
        <v>54</v>
      </c>
      <c r="N122" t="s">
        <v>38</v>
      </c>
      <c r="O122" t="s">
        <v>31</v>
      </c>
    </row>
    <row r="123" spans="1:15" x14ac:dyDescent="0.3">
      <c r="A123" t="s">
        <v>11</v>
      </c>
      <c r="B123" t="s">
        <v>53</v>
      </c>
      <c r="C123" t="s">
        <v>23</v>
      </c>
      <c r="D123">
        <v>73770000</v>
      </c>
      <c r="E123">
        <v>77235000</v>
      </c>
      <c r="F123">
        <f t="shared" si="2"/>
        <v>3465000</v>
      </c>
      <c r="J123">
        <f t="shared" si="3"/>
        <v>0</v>
      </c>
      <c r="K123">
        <v>0.52813852813852802</v>
      </c>
      <c r="L123" t="s">
        <v>14</v>
      </c>
      <c r="M123" t="s">
        <v>54</v>
      </c>
      <c r="N123" t="s">
        <v>38</v>
      </c>
      <c r="O123" t="s">
        <v>31</v>
      </c>
    </row>
    <row r="124" spans="1:15" x14ac:dyDescent="0.3">
      <c r="A124" t="s">
        <v>32</v>
      </c>
      <c r="B124" t="s">
        <v>53</v>
      </c>
      <c r="C124" t="s">
        <v>43</v>
      </c>
      <c r="D124">
        <v>76010000</v>
      </c>
      <c r="E124">
        <v>79125000</v>
      </c>
      <c r="F124">
        <f t="shared" si="2"/>
        <v>3115000</v>
      </c>
      <c r="J124">
        <f t="shared" si="3"/>
        <v>0</v>
      </c>
      <c r="K124">
        <v>0.80096308186195797</v>
      </c>
      <c r="L124" t="s">
        <v>33</v>
      </c>
      <c r="M124" t="s">
        <v>54</v>
      </c>
      <c r="N124" t="s">
        <v>38</v>
      </c>
      <c r="O124" t="s">
        <v>31</v>
      </c>
    </row>
    <row r="125" spans="1:15" x14ac:dyDescent="0.3">
      <c r="A125" t="s">
        <v>11</v>
      </c>
      <c r="B125" t="s">
        <v>53</v>
      </c>
      <c r="C125" t="s">
        <v>17</v>
      </c>
      <c r="D125">
        <v>79390000</v>
      </c>
      <c r="E125">
        <v>83070000</v>
      </c>
      <c r="F125">
        <f t="shared" si="2"/>
        <v>3680000</v>
      </c>
      <c r="J125">
        <f t="shared" si="3"/>
        <v>0</v>
      </c>
      <c r="K125">
        <v>0.94701086956521696</v>
      </c>
      <c r="L125" t="s">
        <v>14</v>
      </c>
      <c r="M125" t="s">
        <v>54</v>
      </c>
      <c r="N125" t="s">
        <v>38</v>
      </c>
      <c r="O125" t="s">
        <v>31</v>
      </c>
    </row>
    <row r="126" spans="1:15" x14ac:dyDescent="0.3">
      <c r="A126" t="s">
        <v>11</v>
      </c>
      <c r="B126" t="s">
        <v>53</v>
      </c>
      <c r="C126" t="s">
        <v>18</v>
      </c>
      <c r="D126">
        <v>51850000</v>
      </c>
      <c r="E126">
        <v>58025000</v>
      </c>
      <c r="F126">
        <f t="shared" si="2"/>
        <v>6175000</v>
      </c>
      <c r="J126">
        <f t="shared" si="3"/>
        <v>0</v>
      </c>
      <c r="K126">
        <v>0.874493927125506</v>
      </c>
      <c r="L126" t="s">
        <v>14</v>
      </c>
      <c r="M126" t="s">
        <v>54</v>
      </c>
      <c r="N126" t="s">
        <v>38</v>
      </c>
      <c r="O126" t="s">
        <v>31</v>
      </c>
    </row>
    <row r="127" spans="1:15" x14ac:dyDescent="0.3">
      <c r="A127" t="s">
        <v>11</v>
      </c>
      <c r="B127" t="s">
        <v>53</v>
      </c>
      <c r="C127" t="s">
        <v>20</v>
      </c>
      <c r="D127">
        <v>23420000</v>
      </c>
      <c r="E127">
        <v>26140000</v>
      </c>
      <c r="F127">
        <f t="shared" si="2"/>
        <v>2720000</v>
      </c>
      <c r="J127">
        <f t="shared" si="3"/>
        <v>0</v>
      </c>
      <c r="K127">
        <v>0.97610294117647101</v>
      </c>
      <c r="L127" t="s">
        <v>14</v>
      </c>
      <c r="M127" t="s">
        <v>54</v>
      </c>
      <c r="N127" t="s">
        <v>38</v>
      </c>
      <c r="O127" t="s">
        <v>31</v>
      </c>
    </row>
    <row r="128" spans="1:15" x14ac:dyDescent="0.3">
      <c r="A128" t="s">
        <v>32</v>
      </c>
      <c r="B128" t="s">
        <v>53</v>
      </c>
      <c r="C128" t="s">
        <v>21</v>
      </c>
      <c r="D128">
        <v>69195000</v>
      </c>
      <c r="E128">
        <v>72625000</v>
      </c>
      <c r="F128">
        <f t="shared" si="2"/>
        <v>3430000</v>
      </c>
      <c r="J128">
        <f t="shared" si="3"/>
        <v>0</v>
      </c>
      <c r="K128">
        <v>0.91836734693877597</v>
      </c>
      <c r="L128" t="s">
        <v>33</v>
      </c>
      <c r="M128" t="s">
        <v>54</v>
      </c>
      <c r="N128" t="s">
        <v>38</v>
      </c>
      <c r="O128" t="s">
        <v>31</v>
      </c>
    </row>
    <row r="129" spans="1:15" x14ac:dyDescent="0.3">
      <c r="A129" t="s">
        <v>11</v>
      </c>
      <c r="B129" t="s">
        <v>53</v>
      </c>
      <c r="C129" t="s">
        <v>24</v>
      </c>
      <c r="D129">
        <v>62225000</v>
      </c>
      <c r="E129">
        <v>64970000</v>
      </c>
      <c r="F129">
        <f t="shared" si="2"/>
        <v>2745000</v>
      </c>
      <c r="J129">
        <f t="shared" si="3"/>
        <v>0</v>
      </c>
      <c r="K129">
        <v>0.82695810564662997</v>
      </c>
      <c r="L129" t="s">
        <v>14</v>
      </c>
      <c r="M129" t="s">
        <v>54</v>
      </c>
      <c r="N129" t="s">
        <v>38</v>
      </c>
      <c r="O129" t="s">
        <v>31</v>
      </c>
    </row>
    <row r="130" spans="1:15" x14ac:dyDescent="0.3">
      <c r="A130" t="s">
        <v>32</v>
      </c>
      <c r="B130" t="s">
        <v>53</v>
      </c>
      <c r="C130" t="s">
        <v>25</v>
      </c>
      <c r="D130">
        <v>73145000</v>
      </c>
      <c r="E130">
        <v>75960000</v>
      </c>
      <c r="F130">
        <f t="shared" si="2"/>
        <v>2815000</v>
      </c>
      <c r="J130">
        <f t="shared" si="3"/>
        <v>0</v>
      </c>
      <c r="K130">
        <v>0.877442273534636</v>
      </c>
      <c r="L130" t="s">
        <v>33</v>
      </c>
      <c r="M130" t="s">
        <v>54</v>
      </c>
      <c r="N130" t="s">
        <v>38</v>
      </c>
      <c r="O130" t="s">
        <v>31</v>
      </c>
    </row>
    <row r="131" spans="1:15" x14ac:dyDescent="0.3">
      <c r="A131" t="s">
        <v>11</v>
      </c>
      <c r="B131" t="s">
        <v>53</v>
      </c>
      <c r="C131" t="s">
        <v>26</v>
      </c>
      <c r="D131">
        <v>16150000</v>
      </c>
      <c r="E131">
        <v>18865000</v>
      </c>
      <c r="F131">
        <f t="shared" ref="F131:F178" si="4">E131-D131</f>
        <v>2715000</v>
      </c>
      <c r="J131">
        <f t="shared" si="3"/>
        <v>0</v>
      </c>
      <c r="K131">
        <v>0.94475138121546998</v>
      </c>
      <c r="L131" t="s">
        <v>14</v>
      </c>
      <c r="M131" t="s">
        <v>54</v>
      </c>
      <c r="N131" t="s">
        <v>38</v>
      </c>
      <c r="O131" t="s">
        <v>31</v>
      </c>
    </row>
    <row r="132" spans="1:15" x14ac:dyDescent="0.3">
      <c r="A132" t="s">
        <v>19</v>
      </c>
      <c r="B132" t="s">
        <v>53</v>
      </c>
      <c r="C132" t="s">
        <v>27</v>
      </c>
      <c r="D132">
        <v>46210000</v>
      </c>
      <c r="E132">
        <v>49360000</v>
      </c>
      <c r="F132">
        <f t="shared" si="4"/>
        <v>3150000</v>
      </c>
      <c r="J132">
        <f t="shared" si="3"/>
        <v>0</v>
      </c>
      <c r="K132">
        <v>0.99047619047619095</v>
      </c>
      <c r="L132" t="s">
        <v>14</v>
      </c>
      <c r="M132" t="s">
        <v>54</v>
      </c>
      <c r="N132" t="s">
        <v>38</v>
      </c>
      <c r="O132" t="s">
        <v>31</v>
      </c>
    </row>
    <row r="133" spans="1:15" x14ac:dyDescent="0.3">
      <c r="A133" t="s">
        <v>32</v>
      </c>
      <c r="B133" t="s">
        <v>55</v>
      </c>
      <c r="C133" t="s">
        <v>13</v>
      </c>
      <c r="D133">
        <v>159595000</v>
      </c>
      <c r="E133">
        <v>163065000</v>
      </c>
      <c r="F133">
        <f t="shared" si="4"/>
        <v>3470000</v>
      </c>
      <c r="J133">
        <f t="shared" si="3"/>
        <v>0</v>
      </c>
      <c r="K133">
        <v>0.88328530259366</v>
      </c>
      <c r="L133" t="s">
        <v>33</v>
      </c>
      <c r="M133" t="s">
        <v>15</v>
      </c>
      <c r="N133" t="s">
        <v>38</v>
      </c>
      <c r="O133" t="s">
        <v>15</v>
      </c>
    </row>
    <row r="134" spans="1:15" x14ac:dyDescent="0.3">
      <c r="A134" t="s">
        <v>32</v>
      </c>
      <c r="B134" t="s">
        <v>55</v>
      </c>
      <c r="C134" t="s">
        <v>23</v>
      </c>
      <c r="D134">
        <v>128165000</v>
      </c>
      <c r="E134">
        <v>132715000</v>
      </c>
      <c r="F134">
        <f t="shared" si="4"/>
        <v>4550000</v>
      </c>
      <c r="J134">
        <f t="shared" si="3"/>
        <v>0</v>
      </c>
      <c r="K134">
        <v>0.64835164835164805</v>
      </c>
      <c r="L134" t="s">
        <v>33</v>
      </c>
      <c r="M134" t="s">
        <v>15</v>
      </c>
      <c r="N134" t="s">
        <v>38</v>
      </c>
      <c r="O134" t="s">
        <v>15</v>
      </c>
    </row>
    <row r="135" spans="1:15" x14ac:dyDescent="0.3">
      <c r="A135" t="s">
        <v>32</v>
      </c>
      <c r="B135" t="s">
        <v>55</v>
      </c>
      <c r="C135" t="s">
        <v>43</v>
      </c>
      <c r="D135">
        <v>133320000</v>
      </c>
      <c r="E135">
        <v>139260000</v>
      </c>
      <c r="F135">
        <f t="shared" si="4"/>
        <v>5940000</v>
      </c>
      <c r="J135">
        <f t="shared" si="3"/>
        <v>0</v>
      </c>
      <c r="K135">
        <v>0.68265993265993297</v>
      </c>
      <c r="L135" t="s">
        <v>33</v>
      </c>
      <c r="M135" t="s">
        <v>15</v>
      </c>
      <c r="N135" t="s">
        <v>38</v>
      </c>
      <c r="O135" t="s">
        <v>15</v>
      </c>
    </row>
    <row r="136" spans="1:15" x14ac:dyDescent="0.3">
      <c r="A136" t="s">
        <v>32</v>
      </c>
      <c r="B136" t="s">
        <v>55</v>
      </c>
      <c r="C136" t="s">
        <v>17</v>
      </c>
      <c r="D136">
        <v>133350000</v>
      </c>
      <c r="E136">
        <v>139480000</v>
      </c>
      <c r="F136">
        <f t="shared" si="4"/>
        <v>6130000</v>
      </c>
      <c r="J136">
        <f t="shared" si="3"/>
        <v>0</v>
      </c>
      <c r="K136">
        <v>0.402936378466558</v>
      </c>
      <c r="L136" t="s">
        <v>33</v>
      </c>
      <c r="M136" t="s">
        <v>15</v>
      </c>
      <c r="N136" t="s">
        <v>38</v>
      </c>
      <c r="O136" t="s">
        <v>15</v>
      </c>
    </row>
    <row r="137" spans="1:15" x14ac:dyDescent="0.3">
      <c r="A137" t="s">
        <v>11</v>
      </c>
      <c r="B137" t="s">
        <v>55</v>
      </c>
      <c r="C137" t="s">
        <v>18</v>
      </c>
      <c r="D137">
        <v>126055000</v>
      </c>
      <c r="E137">
        <v>129230000</v>
      </c>
      <c r="F137">
        <f t="shared" si="4"/>
        <v>3175000</v>
      </c>
      <c r="J137">
        <f t="shared" si="3"/>
        <v>0</v>
      </c>
      <c r="K137">
        <v>0.62047244094488196</v>
      </c>
      <c r="L137" t="s">
        <v>14</v>
      </c>
      <c r="M137" t="s">
        <v>15</v>
      </c>
      <c r="N137" t="s">
        <v>38</v>
      </c>
      <c r="O137" t="s">
        <v>15</v>
      </c>
    </row>
    <row r="138" spans="1:15" x14ac:dyDescent="0.3">
      <c r="A138" t="s">
        <v>11</v>
      </c>
      <c r="B138" t="s">
        <v>55</v>
      </c>
      <c r="C138" t="s">
        <v>20</v>
      </c>
      <c r="D138">
        <v>142630000</v>
      </c>
      <c r="E138">
        <v>148510000</v>
      </c>
      <c r="F138">
        <f t="shared" si="4"/>
        <v>5880000</v>
      </c>
      <c r="J138">
        <f t="shared" si="3"/>
        <v>0</v>
      </c>
      <c r="K138">
        <v>0.43197278911564602</v>
      </c>
      <c r="L138" t="s">
        <v>14</v>
      </c>
      <c r="M138" t="s">
        <v>15</v>
      </c>
      <c r="N138" t="s">
        <v>38</v>
      </c>
      <c r="O138" t="s">
        <v>15</v>
      </c>
    </row>
    <row r="139" spans="1:15" x14ac:dyDescent="0.3">
      <c r="A139" t="s">
        <v>11</v>
      </c>
      <c r="B139" t="s">
        <v>55</v>
      </c>
      <c r="C139" t="s">
        <v>21</v>
      </c>
      <c r="D139">
        <v>116060000</v>
      </c>
      <c r="E139">
        <v>122010000</v>
      </c>
      <c r="F139">
        <f t="shared" si="4"/>
        <v>5950000</v>
      </c>
      <c r="J139">
        <f t="shared" si="3"/>
        <v>0</v>
      </c>
      <c r="K139">
        <v>0.51008403361344501</v>
      </c>
      <c r="L139" t="s">
        <v>14</v>
      </c>
      <c r="M139" t="s">
        <v>15</v>
      </c>
      <c r="N139" t="s">
        <v>38</v>
      </c>
      <c r="O139" t="s">
        <v>15</v>
      </c>
    </row>
    <row r="140" spans="1:15" x14ac:dyDescent="0.3">
      <c r="A140" t="s">
        <v>11</v>
      </c>
      <c r="B140" t="s">
        <v>55</v>
      </c>
      <c r="C140" t="s">
        <v>24</v>
      </c>
      <c r="D140">
        <v>93470000</v>
      </c>
      <c r="E140">
        <v>98610000</v>
      </c>
      <c r="F140">
        <f t="shared" si="4"/>
        <v>5140000</v>
      </c>
      <c r="J140">
        <f t="shared" si="3"/>
        <v>0</v>
      </c>
      <c r="K140">
        <v>0.53988326848249002</v>
      </c>
      <c r="L140" t="s">
        <v>14</v>
      </c>
      <c r="M140" t="s">
        <v>15</v>
      </c>
      <c r="N140" t="s">
        <v>38</v>
      </c>
      <c r="O140" t="s">
        <v>15</v>
      </c>
    </row>
    <row r="141" spans="1:15" x14ac:dyDescent="0.3">
      <c r="A141" t="s">
        <v>32</v>
      </c>
      <c r="B141" t="s">
        <v>55</v>
      </c>
      <c r="C141" t="s">
        <v>25</v>
      </c>
      <c r="D141">
        <v>115730000</v>
      </c>
      <c r="E141">
        <v>119750000</v>
      </c>
      <c r="F141">
        <f t="shared" si="4"/>
        <v>4020000</v>
      </c>
      <c r="J141">
        <f t="shared" si="3"/>
        <v>0</v>
      </c>
      <c r="K141">
        <v>0.85323383084577098</v>
      </c>
      <c r="L141" t="s">
        <v>33</v>
      </c>
      <c r="M141" t="s">
        <v>15</v>
      </c>
      <c r="N141" t="s">
        <v>38</v>
      </c>
      <c r="O141" t="s">
        <v>15</v>
      </c>
    </row>
    <row r="142" spans="1:15" x14ac:dyDescent="0.3">
      <c r="A142" t="s">
        <v>11</v>
      </c>
      <c r="B142" t="s">
        <v>55</v>
      </c>
      <c r="C142" t="s">
        <v>26</v>
      </c>
      <c r="D142">
        <v>1665000</v>
      </c>
      <c r="E142">
        <v>5470000</v>
      </c>
      <c r="F142">
        <f t="shared" si="4"/>
        <v>3805000</v>
      </c>
      <c r="J142">
        <f t="shared" si="3"/>
        <v>0</v>
      </c>
      <c r="K142">
        <v>0.64257555847569003</v>
      </c>
      <c r="L142" t="s">
        <v>14</v>
      </c>
      <c r="M142" t="s">
        <v>15</v>
      </c>
      <c r="N142" t="s">
        <v>38</v>
      </c>
      <c r="O142" t="s">
        <v>15</v>
      </c>
    </row>
    <row r="143" spans="1:15" x14ac:dyDescent="0.3">
      <c r="A143" t="s">
        <v>11</v>
      </c>
      <c r="B143" t="s">
        <v>55</v>
      </c>
      <c r="C143" t="s">
        <v>27</v>
      </c>
      <c r="D143">
        <v>126895000</v>
      </c>
      <c r="E143">
        <v>132295000</v>
      </c>
      <c r="F143">
        <f t="shared" si="4"/>
        <v>5400000</v>
      </c>
      <c r="J143">
        <f t="shared" si="3"/>
        <v>0</v>
      </c>
      <c r="K143">
        <v>0.38425925925925902</v>
      </c>
      <c r="L143" t="s">
        <v>14</v>
      </c>
      <c r="M143" t="s">
        <v>15</v>
      </c>
      <c r="N143" t="s">
        <v>38</v>
      </c>
      <c r="O143" t="s">
        <v>15</v>
      </c>
    </row>
    <row r="144" spans="1:15" x14ac:dyDescent="0.3">
      <c r="A144" t="s">
        <v>11</v>
      </c>
      <c r="B144" t="s">
        <v>56</v>
      </c>
      <c r="C144" t="s">
        <v>13</v>
      </c>
      <c r="D144">
        <v>21620000</v>
      </c>
      <c r="E144">
        <v>24080000</v>
      </c>
      <c r="F144">
        <f t="shared" si="4"/>
        <v>2460000</v>
      </c>
      <c r="J144">
        <f t="shared" si="3"/>
        <v>0</v>
      </c>
      <c r="K144">
        <v>1</v>
      </c>
      <c r="L144" t="s">
        <v>14</v>
      </c>
      <c r="M144" t="s">
        <v>15</v>
      </c>
      <c r="N144" t="s">
        <v>35</v>
      </c>
      <c r="O144" t="s">
        <v>15</v>
      </c>
    </row>
    <row r="145" spans="1:15" x14ac:dyDescent="0.3">
      <c r="A145" t="s">
        <v>32</v>
      </c>
      <c r="B145" t="s">
        <v>56</v>
      </c>
      <c r="C145" t="s">
        <v>17</v>
      </c>
      <c r="D145">
        <v>12975000</v>
      </c>
      <c r="E145">
        <v>16335000</v>
      </c>
      <c r="F145">
        <f t="shared" si="4"/>
        <v>3360000</v>
      </c>
      <c r="J145">
        <f t="shared" si="3"/>
        <v>0</v>
      </c>
      <c r="K145">
        <v>0.86607142857142905</v>
      </c>
      <c r="L145" t="s">
        <v>33</v>
      </c>
      <c r="M145" t="s">
        <v>15</v>
      </c>
      <c r="N145" t="s">
        <v>35</v>
      </c>
      <c r="O145" t="s">
        <v>15</v>
      </c>
    </row>
    <row r="146" spans="1:15" x14ac:dyDescent="0.3">
      <c r="A146" t="s">
        <v>11</v>
      </c>
      <c r="B146" t="s">
        <v>56</v>
      </c>
      <c r="C146" t="s">
        <v>18</v>
      </c>
      <c r="D146">
        <v>23990000</v>
      </c>
      <c r="E146">
        <v>27415000</v>
      </c>
      <c r="F146">
        <f t="shared" si="4"/>
        <v>3425000</v>
      </c>
      <c r="J146">
        <f t="shared" si="3"/>
        <v>0</v>
      </c>
      <c r="K146">
        <v>0.81167883211678804</v>
      </c>
      <c r="L146" t="s">
        <v>14</v>
      </c>
      <c r="M146" t="s">
        <v>15</v>
      </c>
      <c r="N146" t="s">
        <v>35</v>
      </c>
      <c r="O146" t="s">
        <v>15</v>
      </c>
    </row>
    <row r="147" spans="1:15" x14ac:dyDescent="0.3">
      <c r="A147" t="s">
        <v>32</v>
      </c>
      <c r="B147" t="s">
        <v>56</v>
      </c>
      <c r="C147" t="s">
        <v>20</v>
      </c>
      <c r="D147">
        <v>12660000</v>
      </c>
      <c r="E147">
        <v>15255000</v>
      </c>
      <c r="F147">
        <f t="shared" si="4"/>
        <v>2595000</v>
      </c>
      <c r="J147">
        <f t="shared" si="3"/>
        <v>0</v>
      </c>
      <c r="K147">
        <v>0.96917148362235095</v>
      </c>
      <c r="L147" t="s">
        <v>33</v>
      </c>
      <c r="M147" t="s">
        <v>15</v>
      </c>
      <c r="N147" t="s">
        <v>35</v>
      </c>
      <c r="O147" t="s">
        <v>15</v>
      </c>
    </row>
    <row r="148" spans="1:15" x14ac:dyDescent="0.3">
      <c r="A148" t="s">
        <v>11</v>
      </c>
      <c r="B148" t="s">
        <v>56</v>
      </c>
      <c r="C148" t="s">
        <v>21</v>
      </c>
      <c r="D148">
        <v>21515000</v>
      </c>
      <c r="E148">
        <v>23400000</v>
      </c>
      <c r="F148">
        <f t="shared" si="4"/>
        <v>1885000</v>
      </c>
      <c r="J148">
        <f t="shared" si="3"/>
        <v>0</v>
      </c>
      <c r="K148">
        <v>1</v>
      </c>
      <c r="L148" t="s">
        <v>14</v>
      </c>
      <c r="M148" t="s">
        <v>15</v>
      </c>
      <c r="N148" t="s">
        <v>35</v>
      </c>
      <c r="O148" t="s">
        <v>15</v>
      </c>
    </row>
    <row r="149" spans="1:15" x14ac:dyDescent="0.3">
      <c r="A149" t="s">
        <v>11</v>
      </c>
      <c r="B149" t="s">
        <v>56</v>
      </c>
      <c r="C149" t="s">
        <v>24</v>
      </c>
      <c r="D149">
        <v>19195000</v>
      </c>
      <c r="E149">
        <v>22265000</v>
      </c>
      <c r="F149">
        <f t="shared" si="4"/>
        <v>3070000</v>
      </c>
      <c r="J149">
        <f t="shared" si="3"/>
        <v>0</v>
      </c>
      <c r="K149">
        <v>0.97882736156351802</v>
      </c>
      <c r="L149" t="s">
        <v>14</v>
      </c>
      <c r="M149" t="s">
        <v>15</v>
      </c>
      <c r="N149" t="s">
        <v>35</v>
      </c>
      <c r="O149" t="s">
        <v>15</v>
      </c>
    </row>
    <row r="150" spans="1:15" x14ac:dyDescent="0.3">
      <c r="A150" t="s">
        <v>11</v>
      </c>
      <c r="B150" t="s">
        <v>56</v>
      </c>
      <c r="C150" t="s">
        <v>25</v>
      </c>
      <c r="D150">
        <v>15805000</v>
      </c>
      <c r="E150">
        <v>19785000</v>
      </c>
      <c r="F150">
        <f t="shared" si="4"/>
        <v>3980000</v>
      </c>
      <c r="J150">
        <f t="shared" ref="J150:J178" si="5">I150-H150</f>
        <v>0</v>
      </c>
      <c r="K150">
        <v>1</v>
      </c>
      <c r="L150" t="s">
        <v>14</v>
      </c>
      <c r="M150" t="s">
        <v>15</v>
      </c>
      <c r="N150" t="s">
        <v>35</v>
      </c>
      <c r="O150" t="s">
        <v>15</v>
      </c>
    </row>
    <row r="151" spans="1:15" x14ac:dyDescent="0.3">
      <c r="A151" t="s">
        <v>11</v>
      </c>
      <c r="B151" t="s">
        <v>57</v>
      </c>
      <c r="C151" t="s">
        <v>13</v>
      </c>
      <c r="D151">
        <v>3835000</v>
      </c>
      <c r="E151">
        <v>6190000</v>
      </c>
      <c r="F151">
        <f t="shared" si="4"/>
        <v>2355000</v>
      </c>
      <c r="J151">
        <f t="shared" si="5"/>
        <v>0</v>
      </c>
      <c r="K151">
        <v>0.99150743099787697</v>
      </c>
      <c r="L151" t="s">
        <v>14</v>
      </c>
      <c r="M151" t="s">
        <v>15</v>
      </c>
      <c r="N151" t="s">
        <v>35</v>
      </c>
      <c r="O151" t="s">
        <v>15</v>
      </c>
    </row>
    <row r="152" spans="1:15" x14ac:dyDescent="0.3">
      <c r="A152" t="s">
        <v>11</v>
      </c>
      <c r="B152" t="s">
        <v>57</v>
      </c>
      <c r="C152" t="s">
        <v>23</v>
      </c>
      <c r="D152">
        <v>16500000</v>
      </c>
      <c r="E152">
        <v>18820000</v>
      </c>
      <c r="F152">
        <f t="shared" si="4"/>
        <v>2320000</v>
      </c>
      <c r="J152">
        <f t="shared" si="5"/>
        <v>0</v>
      </c>
      <c r="K152">
        <v>0.98060344827586199</v>
      </c>
      <c r="L152" t="s">
        <v>14</v>
      </c>
      <c r="M152" t="s">
        <v>15</v>
      </c>
      <c r="N152" t="s">
        <v>35</v>
      </c>
      <c r="O152" t="s">
        <v>15</v>
      </c>
    </row>
    <row r="153" spans="1:15" x14ac:dyDescent="0.3">
      <c r="A153" t="s">
        <v>11</v>
      </c>
      <c r="B153" t="s">
        <v>57</v>
      </c>
      <c r="C153" t="s">
        <v>43</v>
      </c>
      <c r="D153">
        <v>17920000</v>
      </c>
      <c r="E153">
        <v>20215000</v>
      </c>
      <c r="F153">
        <f t="shared" si="4"/>
        <v>2295000</v>
      </c>
      <c r="J153">
        <f t="shared" si="5"/>
        <v>0</v>
      </c>
      <c r="K153">
        <v>0.98039215686274495</v>
      </c>
      <c r="L153" t="s">
        <v>14</v>
      </c>
      <c r="M153" t="s">
        <v>15</v>
      </c>
      <c r="N153" t="s">
        <v>35</v>
      </c>
      <c r="O153" t="s">
        <v>15</v>
      </c>
    </row>
    <row r="154" spans="1:15" x14ac:dyDescent="0.3">
      <c r="A154" t="s">
        <v>11</v>
      </c>
      <c r="B154" t="s">
        <v>57</v>
      </c>
      <c r="C154" t="s">
        <v>44</v>
      </c>
      <c r="D154">
        <v>16390000</v>
      </c>
      <c r="E154">
        <v>18775000</v>
      </c>
      <c r="F154">
        <f t="shared" si="4"/>
        <v>2385000</v>
      </c>
      <c r="J154">
        <f t="shared" si="5"/>
        <v>0</v>
      </c>
      <c r="K154">
        <v>0.99371069182389904</v>
      </c>
      <c r="L154" t="s">
        <v>14</v>
      </c>
      <c r="M154" t="s">
        <v>15</v>
      </c>
      <c r="N154" t="s">
        <v>35</v>
      </c>
      <c r="O154" t="s">
        <v>15</v>
      </c>
    </row>
    <row r="155" spans="1:15" x14ac:dyDescent="0.3">
      <c r="A155" t="s">
        <v>11</v>
      </c>
      <c r="B155" t="s">
        <v>57</v>
      </c>
      <c r="C155" t="s">
        <v>45</v>
      </c>
      <c r="D155">
        <v>8570000</v>
      </c>
      <c r="E155">
        <v>10935000</v>
      </c>
      <c r="F155">
        <f t="shared" si="4"/>
        <v>2365000</v>
      </c>
      <c r="J155">
        <f t="shared" si="5"/>
        <v>0</v>
      </c>
      <c r="K155">
        <v>0.98942917547568698</v>
      </c>
      <c r="L155" t="s">
        <v>14</v>
      </c>
      <c r="M155" t="s">
        <v>15</v>
      </c>
      <c r="N155" t="s">
        <v>35</v>
      </c>
      <c r="O155" t="s">
        <v>15</v>
      </c>
    </row>
    <row r="156" spans="1:15" x14ac:dyDescent="0.3">
      <c r="A156" t="s">
        <v>11</v>
      </c>
      <c r="B156" t="s">
        <v>57</v>
      </c>
      <c r="C156" t="s">
        <v>46</v>
      </c>
      <c r="D156">
        <v>11405000</v>
      </c>
      <c r="E156">
        <v>13675000</v>
      </c>
      <c r="F156">
        <f t="shared" si="4"/>
        <v>2270000</v>
      </c>
      <c r="J156">
        <f t="shared" si="5"/>
        <v>0</v>
      </c>
      <c r="K156">
        <v>0.97797356828193804</v>
      </c>
      <c r="L156" t="s">
        <v>14</v>
      </c>
      <c r="M156" t="s">
        <v>15</v>
      </c>
      <c r="N156" t="s">
        <v>35</v>
      </c>
      <c r="O156" t="s">
        <v>15</v>
      </c>
    </row>
    <row r="157" spans="1:15" x14ac:dyDescent="0.3">
      <c r="A157" t="s">
        <v>11</v>
      </c>
      <c r="B157" t="s">
        <v>57</v>
      </c>
      <c r="C157" t="s">
        <v>47</v>
      </c>
      <c r="D157">
        <v>13665000</v>
      </c>
      <c r="E157">
        <v>16080000</v>
      </c>
      <c r="F157">
        <f t="shared" si="4"/>
        <v>2415000</v>
      </c>
      <c r="J157">
        <f t="shared" si="5"/>
        <v>0</v>
      </c>
      <c r="K157">
        <v>0.587991718426501</v>
      </c>
      <c r="L157" t="s">
        <v>14</v>
      </c>
      <c r="M157" t="s">
        <v>15</v>
      </c>
      <c r="N157" t="s">
        <v>35</v>
      </c>
      <c r="O157" t="s">
        <v>15</v>
      </c>
    </row>
    <row r="158" spans="1:15" x14ac:dyDescent="0.3">
      <c r="A158" t="s">
        <v>19</v>
      </c>
      <c r="B158" t="s">
        <v>57</v>
      </c>
      <c r="C158" t="s">
        <v>48</v>
      </c>
      <c r="D158">
        <v>9145000</v>
      </c>
      <c r="E158">
        <v>11510000</v>
      </c>
      <c r="F158">
        <f t="shared" si="4"/>
        <v>2365000</v>
      </c>
      <c r="J158">
        <f t="shared" si="5"/>
        <v>0</v>
      </c>
      <c r="K158">
        <v>0.99577167019027502</v>
      </c>
      <c r="L158" t="s">
        <v>14</v>
      </c>
      <c r="M158" t="s">
        <v>15</v>
      </c>
      <c r="N158" t="s">
        <v>35</v>
      </c>
      <c r="O158" t="s">
        <v>15</v>
      </c>
    </row>
    <row r="159" spans="1:15" x14ac:dyDescent="0.3">
      <c r="A159" t="s">
        <v>11</v>
      </c>
      <c r="B159" t="s">
        <v>57</v>
      </c>
      <c r="C159" t="s">
        <v>49</v>
      </c>
      <c r="D159">
        <v>16505000</v>
      </c>
      <c r="E159">
        <v>18900000</v>
      </c>
      <c r="F159">
        <f t="shared" si="4"/>
        <v>2395000</v>
      </c>
      <c r="J159">
        <f t="shared" si="5"/>
        <v>0</v>
      </c>
      <c r="K159">
        <v>0.97286012526096</v>
      </c>
      <c r="L159" t="s">
        <v>14</v>
      </c>
      <c r="M159" t="s">
        <v>15</v>
      </c>
      <c r="N159" t="s">
        <v>35</v>
      </c>
      <c r="O159" t="s">
        <v>15</v>
      </c>
    </row>
    <row r="160" spans="1:15" x14ac:dyDescent="0.3">
      <c r="A160" t="s">
        <v>11</v>
      </c>
      <c r="B160" t="s">
        <v>57</v>
      </c>
      <c r="C160" t="s">
        <v>58</v>
      </c>
      <c r="D160">
        <v>16090000</v>
      </c>
      <c r="E160">
        <v>18505000</v>
      </c>
      <c r="F160">
        <f t="shared" si="4"/>
        <v>2415000</v>
      </c>
      <c r="J160">
        <f t="shared" si="5"/>
        <v>0</v>
      </c>
      <c r="K160">
        <v>0.99792960662525898</v>
      </c>
      <c r="L160" t="s">
        <v>14</v>
      </c>
      <c r="M160" t="s">
        <v>15</v>
      </c>
      <c r="N160" t="s">
        <v>35</v>
      </c>
      <c r="O160" t="s">
        <v>15</v>
      </c>
    </row>
    <row r="161" spans="1:15" x14ac:dyDescent="0.3">
      <c r="A161" t="s">
        <v>11</v>
      </c>
      <c r="B161" t="s">
        <v>57</v>
      </c>
      <c r="C161" t="s">
        <v>59</v>
      </c>
      <c r="D161">
        <v>16330000</v>
      </c>
      <c r="E161">
        <v>18765000</v>
      </c>
      <c r="F161">
        <f t="shared" si="4"/>
        <v>2435000</v>
      </c>
      <c r="J161">
        <f t="shared" si="5"/>
        <v>0</v>
      </c>
      <c r="K161">
        <v>0.99383983572895296</v>
      </c>
      <c r="L161" t="s">
        <v>14</v>
      </c>
      <c r="M161" t="s">
        <v>15</v>
      </c>
      <c r="N161" t="s">
        <v>35</v>
      </c>
      <c r="O161" t="s">
        <v>15</v>
      </c>
    </row>
    <row r="162" spans="1:15" x14ac:dyDescent="0.3">
      <c r="A162" t="s">
        <v>11</v>
      </c>
      <c r="B162" t="s">
        <v>57</v>
      </c>
      <c r="C162" t="s">
        <v>17</v>
      </c>
      <c r="D162">
        <v>4680000</v>
      </c>
      <c r="E162" s="1">
        <v>7000000</v>
      </c>
      <c r="F162">
        <f t="shared" si="4"/>
        <v>2320000</v>
      </c>
      <c r="J162">
        <f t="shared" si="5"/>
        <v>0</v>
      </c>
      <c r="K162">
        <v>0.98706896551724099</v>
      </c>
      <c r="L162" t="s">
        <v>14</v>
      </c>
      <c r="M162" t="s">
        <v>15</v>
      </c>
      <c r="N162" t="s">
        <v>35</v>
      </c>
      <c r="O162" t="s">
        <v>15</v>
      </c>
    </row>
    <row r="163" spans="1:15" x14ac:dyDescent="0.3">
      <c r="A163" t="s">
        <v>11</v>
      </c>
      <c r="B163" t="s">
        <v>57</v>
      </c>
      <c r="C163" t="s">
        <v>60</v>
      </c>
      <c r="D163">
        <v>16950000</v>
      </c>
      <c r="E163">
        <v>19360000</v>
      </c>
      <c r="F163">
        <f t="shared" si="4"/>
        <v>2410000</v>
      </c>
      <c r="J163">
        <f t="shared" si="5"/>
        <v>0</v>
      </c>
      <c r="K163">
        <v>0.96887966804979297</v>
      </c>
      <c r="L163" t="s">
        <v>14</v>
      </c>
      <c r="M163" t="s">
        <v>15</v>
      </c>
      <c r="N163" t="s">
        <v>35</v>
      </c>
      <c r="O163" t="s">
        <v>15</v>
      </c>
    </row>
    <row r="164" spans="1:15" x14ac:dyDescent="0.3">
      <c r="A164" t="s">
        <v>11</v>
      </c>
      <c r="B164" t="s">
        <v>57</v>
      </c>
      <c r="C164" t="s">
        <v>61</v>
      </c>
      <c r="D164">
        <v>8550000</v>
      </c>
      <c r="E164">
        <v>10835000</v>
      </c>
      <c r="F164">
        <f t="shared" si="4"/>
        <v>2285000</v>
      </c>
      <c r="J164">
        <f t="shared" si="5"/>
        <v>0</v>
      </c>
      <c r="K164">
        <v>0.96936542669584203</v>
      </c>
      <c r="L164" t="s">
        <v>14</v>
      </c>
      <c r="M164" t="s">
        <v>15</v>
      </c>
      <c r="N164" t="s">
        <v>35</v>
      </c>
      <c r="O164" t="s">
        <v>15</v>
      </c>
    </row>
    <row r="165" spans="1:15" x14ac:dyDescent="0.3">
      <c r="A165" t="s">
        <v>11</v>
      </c>
      <c r="B165" t="s">
        <v>57</v>
      </c>
      <c r="C165" t="s">
        <v>62</v>
      </c>
      <c r="D165">
        <v>15025000</v>
      </c>
      <c r="E165">
        <v>17230000</v>
      </c>
      <c r="F165">
        <f t="shared" si="4"/>
        <v>2205000</v>
      </c>
      <c r="J165">
        <f t="shared" si="5"/>
        <v>0</v>
      </c>
      <c r="K165">
        <v>0.77097505668934196</v>
      </c>
      <c r="L165" t="s">
        <v>14</v>
      </c>
      <c r="M165" t="s">
        <v>15</v>
      </c>
      <c r="N165" t="s">
        <v>35</v>
      </c>
      <c r="O165" t="s">
        <v>15</v>
      </c>
    </row>
    <row r="166" spans="1:15" x14ac:dyDescent="0.3">
      <c r="A166" t="s">
        <v>11</v>
      </c>
      <c r="B166" t="s">
        <v>57</v>
      </c>
      <c r="C166" t="s">
        <v>63</v>
      </c>
      <c r="D166">
        <v>8220000</v>
      </c>
      <c r="E166">
        <v>10600000</v>
      </c>
      <c r="F166">
        <f t="shared" si="4"/>
        <v>2380000</v>
      </c>
      <c r="J166">
        <f t="shared" si="5"/>
        <v>0</v>
      </c>
      <c r="K166">
        <v>0.97268907563025198</v>
      </c>
      <c r="L166" t="s">
        <v>14</v>
      </c>
      <c r="M166" t="s">
        <v>15</v>
      </c>
      <c r="N166" t="s">
        <v>35</v>
      </c>
      <c r="O166" t="s">
        <v>15</v>
      </c>
    </row>
    <row r="167" spans="1:15" x14ac:dyDescent="0.3">
      <c r="A167" t="s">
        <v>11</v>
      </c>
      <c r="B167" t="s">
        <v>57</v>
      </c>
      <c r="C167" t="s">
        <v>64</v>
      </c>
      <c r="D167">
        <v>8600000</v>
      </c>
      <c r="E167">
        <v>11020000</v>
      </c>
      <c r="F167">
        <f t="shared" si="4"/>
        <v>2420000</v>
      </c>
      <c r="J167">
        <f t="shared" si="5"/>
        <v>0</v>
      </c>
      <c r="K167">
        <v>0.96487603305785097</v>
      </c>
      <c r="L167" t="s">
        <v>14</v>
      </c>
      <c r="M167" t="s">
        <v>15</v>
      </c>
      <c r="N167" t="s">
        <v>35</v>
      </c>
      <c r="O167" t="s">
        <v>15</v>
      </c>
    </row>
    <row r="168" spans="1:15" x14ac:dyDescent="0.3">
      <c r="A168" t="s">
        <v>11</v>
      </c>
      <c r="B168" t="s">
        <v>57</v>
      </c>
      <c r="C168" t="s">
        <v>65</v>
      </c>
      <c r="D168">
        <v>24325000</v>
      </c>
      <c r="E168">
        <v>25445000</v>
      </c>
      <c r="F168">
        <f t="shared" si="4"/>
        <v>1120000</v>
      </c>
      <c r="J168">
        <f t="shared" si="5"/>
        <v>0</v>
      </c>
      <c r="K168">
        <v>0.87053571428571397</v>
      </c>
      <c r="L168" t="s">
        <v>14</v>
      </c>
      <c r="M168" t="s">
        <v>15</v>
      </c>
      <c r="N168" t="s">
        <v>35</v>
      </c>
      <c r="O168" t="s">
        <v>15</v>
      </c>
    </row>
    <row r="169" spans="1:15" x14ac:dyDescent="0.3">
      <c r="A169" t="s">
        <v>19</v>
      </c>
      <c r="B169" t="s">
        <v>57</v>
      </c>
      <c r="C169" t="s">
        <v>66</v>
      </c>
      <c r="D169">
        <v>19260000</v>
      </c>
      <c r="E169">
        <v>20890000</v>
      </c>
      <c r="F169">
        <f t="shared" si="4"/>
        <v>1630000</v>
      </c>
      <c r="J169">
        <f t="shared" si="5"/>
        <v>0</v>
      </c>
      <c r="K169">
        <v>0.98159509202453998</v>
      </c>
      <c r="L169" t="s">
        <v>14</v>
      </c>
      <c r="M169" t="s">
        <v>15</v>
      </c>
      <c r="N169" t="s">
        <v>35</v>
      </c>
      <c r="O169" t="s">
        <v>15</v>
      </c>
    </row>
    <row r="170" spans="1:15" x14ac:dyDescent="0.3">
      <c r="A170" t="s">
        <v>11</v>
      </c>
      <c r="B170" t="s">
        <v>57</v>
      </c>
      <c r="C170" t="s">
        <v>67</v>
      </c>
      <c r="D170">
        <v>22310000</v>
      </c>
      <c r="E170">
        <v>24495000</v>
      </c>
      <c r="F170">
        <f t="shared" si="4"/>
        <v>2185000</v>
      </c>
      <c r="J170">
        <f t="shared" si="5"/>
        <v>0</v>
      </c>
      <c r="K170">
        <v>0.69794050343249403</v>
      </c>
      <c r="L170" t="s">
        <v>14</v>
      </c>
      <c r="M170" t="s">
        <v>15</v>
      </c>
      <c r="N170" t="s">
        <v>35</v>
      </c>
      <c r="O170" t="s">
        <v>15</v>
      </c>
    </row>
    <row r="171" spans="1:15" x14ac:dyDescent="0.3">
      <c r="A171" t="s">
        <v>11</v>
      </c>
      <c r="B171" t="s">
        <v>57</v>
      </c>
      <c r="C171" t="s">
        <v>68</v>
      </c>
      <c r="D171">
        <v>17985000</v>
      </c>
      <c r="E171">
        <v>20165000</v>
      </c>
      <c r="F171">
        <f t="shared" si="4"/>
        <v>2180000</v>
      </c>
      <c r="J171">
        <f t="shared" si="5"/>
        <v>0</v>
      </c>
      <c r="K171">
        <v>0.97477064220183496</v>
      </c>
      <c r="L171" t="s">
        <v>14</v>
      </c>
      <c r="M171" t="s">
        <v>15</v>
      </c>
      <c r="N171" t="s">
        <v>35</v>
      </c>
      <c r="O171" t="s">
        <v>15</v>
      </c>
    </row>
    <row r="172" spans="1:15" x14ac:dyDescent="0.3">
      <c r="A172" t="s">
        <v>11</v>
      </c>
      <c r="B172" t="s">
        <v>57</v>
      </c>
      <c r="C172" t="s">
        <v>18</v>
      </c>
      <c r="D172">
        <v>4445000</v>
      </c>
      <c r="E172">
        <v>6850000</v>
      </c>
      <c r="F172">
        <f t="shared" si="4"/>
        <v>2405000</v>
      </c>
      <c r="J172">
        <f t="shared" si="5"/>
        <v>0</v>
      </c>
      <c r="K172">
        <v>0.86902286902286896</v>
      </c>
      <c r="L172" t="s">
        <v>14</v>
      </c>
      <c r="M172" t="s">
        <v>15</v>
      </c>
      <c r="N172" t="s">
        <v>35</v>
      </c>
      <c r="O172" t="s">
        <v>15</v>
      </c>
    </row>
    <row r="173" spans="1:15" x14ac:dyDescent="0.3">
      <c r="A173" t="s">
        <v>11</v>
      </c>
      <c r="B173" t="s">
        <v>57</v>
      </c>
      <c r="C173" t="s">
        <v>20</v>
      </c>
      <c r="D173">
        <v>4945000</v>
      </c>
      <c r="E173">
        <v>6375000</v>
      </c>
      <c r="F173">
        <f t="shared" si="4"/>
        <v>1430000</v>
      </c>
      <c r="J173">
        <f t="shared" si="5"/>
        <v>0</v>
      </c>
      <c r="K173">
        <v>0.90909090909090895</v>
      </c>
      <c r="L173" t="s">
        <v>14</v>
      </c>
      <c r="M173" t="s">
        <v>15</v>
      </c>
      <c r="N173" t="s">
        <v>35</v>
      </c>
      <c r="O173" t="s">
        <v>15</v>
      </c>
    </row>
    <row r="174" spans="1:15" x14ac:dyDescent="0.3">
      <c r="A174" t="s">
        <v>11</v>
      </c>
      <c r="B174" t="s">
        <v>57</v>
      </c>
      <c r="C174" t="s">
        <v>21</v>
      </c>
      <c r="D174">
        <v>15870000</v>
      </c>
      <c r="E174">
        <v>18310000</v>
      </c>
      <c r="F174">
        <f t="shared" si="4"/>
        <v>2440000</v>
      </c>
      <c r="J174">
        <f t="shared" si="5"/>
        <v>0</v>
      </c>
      <c r="K174">
        <v>0.97745901639344301</v>
      </c>
      <c r="L174" t="s">
        <v>14</v>
      </c>
      <c r="M174" t="s">
        <v>15</v>
      </c>
      <c r="N174" t="s">
        <v>35</v>
      </c>
      <c r="O174" t="s">
        <v>15</v>
      </c>
    </row>
    <row r="175" spans="1:15" x14ac:dyDescent="0.3">
      <c r="A175" t="s">
        <v>11</v>
      </c>
      <c r="B175" t="s">
        <v>57</v>
      </c>
      <c r="C175" t="s">
        <v>24</v>
      </c>
      <c r="D175">
        <v>15960000</v>
      </c>
      <c r="E175">
        <v>18370000</v>
      </c>
      <c r="F175">
        <f t="shared" si="4"/>
        <v>2410000</v>
      </c>
      <c r="J175">
        <f t="shared" si="5"/>
        <v>0</v>
      </c>
      <c r="K175">
        <v>0.99585062240663902</v>
      </c>
      <c r="L175" t="s">
        <v>14</v>
      </c>
      <c r="M175" t="s">
        <v>15</v>
      </c>
      <c r="N175" t="s">
        <v>35</v>
      </c>
      <c r="O175" t="s">
        <v>15</v>
      </c>
    </row>
    <row r="176" spans="1:15" x14ac:dyDescent="0.3">
      <c r="A176" t="s">
        <v>11</v>
      </c>
      <c r="B176" t="s">
        <v>57</v>
      </c>
      <c r="C176" t="s">
        <v>25</v>
      </c>
      <c r="D176">
        <v>16550000</v>
      </c>
      <c r="E176">
        <v>18925000</v>
      </c>
      <c r="F176">
        <f t="shared" si="4"/>
        <v>2375000</v>
      </c>
      <c r="J176">
        <f t="shared" si="5"/>
        <v>0</v>
      </c>
      <c r="K176">
        <v>0.98315789473684201</v>
      </c>
      <c r="L176" t="s">
        <v>14</v>
      </c>
      <c r="M176" t="s">
        <v>15</v>
      </c>
      <c r="N176" t="s">
        <v>35</v>
      </c>
      <c r="O176" t="s">
        <v>15</v>
      </c>
    </row>
    <row r="177" spans="1:15" x14ac:dyDescent="0.3">
      <c r="A177" t="s">
        <v>11</v>
      </c>
      <c r="B177" t="s">
        <v>57</v>
      </c>
      <c r="C177" t="s">
        <v>26</v>
      </c>
      <c r="D177">
        <v>15630000</v>
      </c>
      <c r="E177">
        <v>18085000</v>
      </c>
      <c r="F177">
        <f t="shared" si="4"/>
        <v>2455000</v>
      </c>
      <c r="J177">
        <f t="shared" si="5"/>
        <v>0</v>
      </c>
      <c r="K177">
        <v>0.95112016293279</v>
      </c>
      <c r="L177" t="s">
        <v>14</v>
      </c>
      <c r="M177" t="s">
        <v>15</v>
      </c>
      <c r="N177" t="s">
        <v>35</v>
      </c>
      <c r="O177" t="s">
        <v>15</v>
      </c>
    </row>
    <row r="178" spans="1:15" x14ac:dyDescent="0.3">
      <c r="A178" t="s">
        <v>11</v>
      </c>
      <c r="B178" t="s">
        <v>57</v>
      </c>
      <c r="C178" t="s">
        <v>27</v>
      </c>
      <c r="D178">
        <v>16205000</v>
      </c>
      <c r="E178">
        <v>18600000</v>
      </c>
      <c r="F178">
        <f t="shared" si="4"/>
        <v>2395000</v>
      </c>
      <c r="J178">
        <f t="shared" si="5"/>
        <v>0</v>
      </c>
      <c r="K178">
        <v>0.95615866388309001</v>
      </c>
      <c r="L178" t="s">
        <v>14</v>
      </c>
      <c r="M178" t="s">
        <v>15</v>
      </c>
      <c r="N178" t="s">
        <v>35</v>
      </c>
      <c r="O17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Arctic_genomes_final_cent_pred_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Cassandra Elphinstone</cp:lastModifiedBy>
  <dcterms:created xsi:type="dcterms:W3CDTF">2026-03-11T14:26:06Z</dcterms:created>
  <dcterms:modified xsi:type="dcterms:W3CDTF">2026-03-11T14:32:34Z</dcterms:modified>
</cp:coreProperties>
</file>